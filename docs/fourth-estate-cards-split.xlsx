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Elections" sheetId="3" state="visible" r:id="rId3"/>
    <sheet xmlns:r="http://schemas.openxmlformats.org/officeDocument/2006/relationships" name="Newspaper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'Stories'!$A$1:$AC$111</definedName>
    <definedName name="_xlnm._FilterDatabase" localSheetId="2" hidden="1">'Elections'!$A$1:$AD$18</definedName>
    <definedName name="_xlnm._FilterDatabase" localSheetId="3" hidden="1">'Newspapers'!$A$1:$F$9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4EAD0"/>
      <sz val="10"/>
    </font>
  </fonts>
  <fills count="3">
    <fill>
      <patternFill/>
    </fill>
    <fill>
      <patternFill patternType="gray125"/>
    </fill>
    <fill>
      <patternFill patternType="solid">
        <fgColor rgb="001431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The Fourth Estate (variant) -- card content</t>
        </is>
      </c>
    </row>
    <row r="2">
      <c r="A2" s="2" t="inlineStr">
        <is>
          <t>Exported from docs/deck-dc.csv, docs/elections-dc.csv and docs/papers-dc.csv on the variant branch.</t>
        </is>
      </c>
    </row>
    <row r="3">
      <c r="A3" s="2" t="inlineStr">
        <is>
          <t>Those CSV files are what the game reads; this workbook is a copy. Influence and prestige are split into readable columns here;</t>
        </is>
      </c>
    </row>
    <row r="4">
      <c r="A4" s="2" t="inlineStr">
        <is>
          <t>every other column keeps its CSV name, and the key column identifies each card, so edited rows can be imported back.</t>
        </is>
      </c>
    </row>
    <row r="5">
      <c r="A5" s="2" t="inlineStr"/>
    </row>
    <row r="6">
      <c r="A6" s="3" t="inlineStr">
        <is>
          <t>Sheets</t>
        </is>
      </c>
    </row>
    <row r="7">
      <c r="A7" s="2" t="inlineStr">
        <is>
          <t>Stories -- every card kind: stories, media events, starters (Letter, Local Notice), Editorial, Scandal.</t>
        </is>
      </c>
    </row>
    <row r="8">
      <c r="A8" s="2" t="inlineStr">
        <is>
          <t>Elections -- the 17 election cards: two candidates each, thresholds, the card's power and its First Appearance event.</t>
        </is>
      </c>
    </row>
    <row r="9">
      <c r="A9" s="2" t="inlineStr">
        <is>
          <t>Newspapers -- the eight papers (DC's Super Heroes) and their abilities.</t>
        </is>
      </c>
    </row>
    <row r="10">
      <c r="A10" s="2" t="inlineStr">
        <is>
          <t>Summary -- counts by type, theme and era, as formulas over the Stories sheet.</t>
        </is>
      </c>
    </row>
    <row r="11">
      <c r="A11" s="2" t="inlineStr"/>
    </row>
    <row r="12">
      <c r="A12" s="3" t="inlineStr">
        <is>
          <t>Stories columns</t>
        </is>
      </c>
    </row>
    <row r="13">
      <c r="A13" s="2" t="inlineStr">
        <is>
          <t>cost = price on the exchange; Prestige = the score; Influence (plain) = spends on anything;</t>
        </is>
      </c>
    </row>
    <row r="14">
      <c r="A14" s="2" t="inlineStr">
        <is>
          <t>Political / Economic / Social influence = influence of that theme (a story has at most one); Campaign influence = elections only;</t>
        </is>
      </c>
    </row>
    <row r="15">
      <c r="A15" s="2" t="inlineStr">
        <is>
          <t>draw = cards drawn; trash = cards you may destroy; gain_upto = gain a story costing that or less;</t>
        </is>
      </c>
    </row>
    <row r="16">
      <c r="A16" s="2" t="inlineStr">
        <is>
          <t>chain = +N if you play another story of the theme; per_same = +N per other story of the theme; per_office = +N per election won;</t>
        </is>
      </c>
    </row>
    <row r="17">
      <c r="A17" s="2" t="inlineStr">
        <is>
          <t>attack = discard or scandal (hits every rival); defense = 1 if it blocks an attack; retract = Retraction (draw a card, destroy a Scandal);</t>
        </is>
      </c>
    </row>
    <row r="18">
      <c r="A18" s="2" t="inlineStr">
        <is>
          <t>ongoing_gen / ongoing_draw = a media event's bonus to its owner each turn; others_bonus / others_theme = its bonus to every other paper;</t>
        </is>
      </c>
    </row>
    <row r="19">
      <c r="A19" s="2" t="inlineStr">
        <is>
          <t>released = the election whose campaign releases it into the main deck; year = the event's date; copies = how many exist.</t>
        </is>
      </c>
    </row>
    <row r="20">
      <c r="A20" s="2" t="inlineStr"/>
    </row>
    <row r="21">
      <c r="A21" s="3" t="inlineStr">
        <is>
          <t>Elections columns</t>
        </is>
      </c>
    </row>
    <row r="22">
      <c r="A22" s="2" t="inlineStr">
        <is>
          <t>nation / states = the two candidates; *_theme = the influence that counts toward him; *_threshold = influence needed to elect him.</t>
        </is>
      </c>
    </row>
    <row r="23">
      <c r="A23" s="2" t="inlineStr">
        <is>
          <t>historical_winner = history's choice (2 cheaper); Prestige = the card's prestige; Prestige per office = prestige for each election card held (1860);</t>
        </is>
      </c>
    </row>
    <row r="24">
      <c r="A24" s="2" t="inlineStr">
        <is>
          <t>Influence (plain) = its plain influence when played; Candidate-theme influence = influence of the elected candidate's theme when played.</t>
        </is>
      </c>
    </row>
    <row r="25">
      <c r="A25" s="2" t="inlineStr">
        <is>
          <t>p_* = the rest of the card's power when played: p_draw, p_trash (destroy up to N), p_trash_draw (draw one per card destroyed),</t>
        </is>
      </c>
    </row>
    <row r="26">
      <c r="A26" s="2" t="inlineStr">
        <is>
          <t>p_gain_upto, p_recover (cards from discard to hand), p_per_kind (+N per different kind of card played), p_scry (look at the top N, keep 1),</t>
        </is>
      </c>
    </row>
    <row r="27">
      <c r="A27" s="2" t="inlineStr">
        <is>
          <t>p_stay_gen (stays in play: +N each turn; none now), p_attack.</t>
        </is>
      </c>
    </row>
    <row r="28">
      <c r="A28" s="2" t="inlineStr">
        <is>
          <t>fa_kind / fa_n = the First Appearance when the campaign opens: discard, discard_leader, discard_dearest, destroy_cheapest, draw, draw_fewest,</t>
        </is>
      </c>
    </row>
    <row r="29">
      <c r="A29" s="2" t="inlineStr">
        <is>
          <t>scandal, scandal_leader, unscandal, sweep; fa_n = how many.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8" customWidth="1" min="5" max="5"/>
    <col width="11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8" customWidth="1" min="12" max="12"/>
    <col width="8" customWidth="1" min="13" max="13"/>
    <col width="12" customWidth="1" min="14" max="14"/>
    <col width="8" customWidth="1" min="15" max="15"/>
    <col width="11" customWidth="1" min="16" max="16"/>
    <col width="13" customWidth="1" min="17" max="17"/>
    <col width="9" customWidth="1" min="18" max="18"/>
    <col width="10" customWidth="1" min="19" max="19"/>
    <col width="10" customWidth="1" min="20" max="20"/>
    <col width="14" customWidth="1" min="21" max="21"/>
    <col width="15" customWidth="1" min="22" max="22"/>
    <col width="15" customWidth="1" min="23" max="23"/>
    <col width="15" customWidth="1" min="24" max="24"/>
    <col width="11" customWidth="1" min="25" max="25"/>
    <col width="8" customWidth="1" min="26" max="26"/>
    <col width="9" customWidth="1" min="27" max="27"/>
    <col width="60" customWidth="1" min="28" max="28"/>
    <col width="50" customWidth="1" min="29" max="29"/>
  </cols>
  <sheetData>
    <row r="1" ht="30" customHeight="1">
      <c r="A1" s="4" t="inlineStr">
        <is>
          <t>key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cost</t>
        </is>
      </c>
      <c r="F1" s="4" t="inlineStr">
        <is>
          <t>Prestige</t>
        </is>
      </c>
      <c r="G1" s="4" t="inlineStr">
        <is>
          <t>Influence (plain)</t>
        </is>
      </c>
      <c r="H1" s="4" t="inlineStr">
        <is>
          <t>Political influence</t>
        </is>
      </c>
      <c r="I1" s="4" t="inlineStr">
        <is>
          <t>Economic influence</t>
        </is>
      </c>
      <c r="J1" s="4" t="inlineStr">
        <is>
          <t>Social influence</t>
        </is>
      </c>
      <c r="K1" s="4" t="inlineStr">
        <is>
          <t>Campaign influence</t>
        </is>
      </c>
      <c r="L1" s="4" t="inlineStr">
        <is>
          <t>draw</t>
        </is>
      </c>
      <c r="M1" s="4" t="inlineStr">
        <is>
          <t>trash</t>
        </is>
      </c>
      <c r="N1" s="4" t="inlineStr">
        <is>
          <t>gain_upto</t>
        </is>
      </c>
      <c r="O1" s="4" t="inlineStr">
        <is>
          <t>chain</t>
        </is>
      </c>
      <c r="P1" s="4" t="inlineStr">
        <is>
          <t>per_same</t>
        </is>
      </c>
      <c r="Q1" s="4" t="inlineStr">
        <is>
          <t>per_office</t>
        </is>
      </c>
      <c r="R1" s="4" t="inlineStr">
        <is>
          <t>attack</t>
        </is>
      </c>
      <c r="S1" s="4" t="inlineStr">
        <is>
          <t>defense</t>
        </is>
      </c>
      <c r="T1" s="4" t="inlineStr">
        <is>
          <t>retract</t>
        </is>
      </c>
      <c r="U1" s="4" t="inlineStr">
        <is>
          <t>ongoing_gen</t>
        </is>
      </c>
      <c r="V1" s="4" t="inlineStr">
        <is>
          <t>ongoing_draw</t>
        </is>
      </c>
      <c r="W1" s="4" t="inlineStr">
        <is>
          <t>others_bonus</t>
        </is>
      </c>
      <c r="X1" s="4" t="inlineStr">
        <is>
          <t>others_theme</t>
        </is>
      </c>
      <c r="Y1" s="4" t="inlineStr">
        <is>
          <t>released</t>
        </is>
      </c>
      <c r="Z1" s="4" t="inlineStr">
        <is>
          <t>year</t>
        </is>
      </c>
      <c r="AA1" s="4" t="inlineStr">
        <is>
          <t>copies</t>
        </is>
      </c>
      <c r="AB1" s="4" t="inlineStr">
        <is>
          <t>card_text</t>
        </is>
      </c>
      <c r="AC1" s="4" t="inlineStr">
        <is>
          <t>flavor</t>
        </is>
      </c>
    </row>
    <row r="2">
      <c r="A2" s="5" t="inlineStr">
        <is>
          <t>letter</t>
        </is>
      </c>
      <c r="B2" s="6" t="inlineStr">
        <is>
          <t>Letter to the Editor</t>
        </is>
      </c>
      <c r="C2" s="5" t="inlineStr">
        <is>
          <t>Starter</t>
        </is>
      </c>
      <c r="D2" s="5" t="n"/>
      <c r="E2" s="5" t="n">
        <v>0</v>
      </c>
      <c r="F2" s="5" t="n">
        <v>0</v>
      </c>
      <c r="G2" s="5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/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/>
      <c r="Y2" s="5" t="n"/>
      <c r="Z2" s="5" t="n"/>
      <c r="AA2" s="5" t="n">
        <v>7</v>
      </c>
      <c r="AB2" s="6" t="inlineStr">
        <is>
          <t>+1 influence.</t>
        </is>
      </c>
      <c r="AC2" s="6" t="inlineStr">
        <is>
          <t>A subscriber's opinion, printed at no charge.</t>
        </is>
      </c>
    </row>
    <row r="3">
      <c r="A3" s="5" t="inlineStr">
        <is>
          <t>notice</t>
        </is>
      </c>
      <c r="B3" s="6" t="inlineStr">
        <is>
          <t>Local Notice</t>
        </is>
      </c>
      <c r="C3" s="5" t="inlineStr">
        <is>
          <t>Starter</t>
        </is>
      </c>
      <c r="D3" s="5" t="n"/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/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/>
      <c r="Y3" s="5" t="n"/>
      <c r="Z3" s="5" t="n"/>
      <c r="AA3" s="5" t="n">
        <v>3</v>
      </c>
      <c r="AB3" s="6" t="inlineStr">
        <is>
          <t>No effect. Destroy it when you can.</t>
        </is>
      </c>
      <c r="AC3" s="6" t="inlineStr">
        <is>
          <t>Strayed cattle, a church supper. Fills the column; moves no one.</t>
        </is>
      </c>
    </row>
    <row r="4">
      <c r="A4" s="5" t="inlineStr">
        <is>
          <t>editorial</t>
        </is>
      </c>
      <c r="B4" s="6" t="inlineStr">
        <is>
          <t>Editorial</t>
        </is>
      </c>
      <c r="C4" s="5" t="inlineStr">
        <is>
          <t>Editorial</t>
        </is>
      </c>
      <c r="D4" s="5" t="n"/>
      <c r="E4" s="5" t="n">
        <v>3</v>
      </c>
      <c r="F4" s="5" t="n">
        <v>1</v>
      </c>
      <c r="G4" s="5" t="n">
        <v>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/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/>
      <c r="Y4" s="5" t="n"/>
      <c r="Z4" s="5" t="n"/>
      <c r="AA4" s="5" t="n">
        <v>16</v>
      </c>
      <c r="AB4" s="6" t="inlineStr">
        <is>
          <t>+2 influence.</t>
        </is>
      </c>
      <c r="AC4" s="6" t="inlineStr">
        <is>
          <t>The editor's own voice, always on offer.</t>
        </is>
      </c>
    </row>
    <row r="5">
      <c r="A5" s="5" t="inlineStr">
        <is>
          <t>scandal</t>
        </is>
      </c>
      <c r="B5" s="6" t="inlineStr">
        <is>
          <t>Scandal</t>
        </is>
      </c>
      <c r="C5" s="5" t="inlineStr">
        <is>
          <t>Scandal</t>
        </is>
      </c>
      <c r="D5" s="5" t="n"/>
      <c r="E5" s="5" t="n">
        <v>0</v>
      </c>
      <c r="F5" s="5" t="n">
        <v>-1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/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/>
      <c r="Y5" s="5" t="n"/>
      <c r="Z5" s="5" t="n"/>
      <c r="AA5" s="5" t="n">
        <v>20</v>
      </c>
      <c r="AB5" s="6" t="inlineStr">
        <is>
          <t>-1 prestige at the end of the game.</t>
        </is>
      </c>
      <c r="AC5" s="6" t="inlineStr">
        <is>
          <t>Something printed about you. It will not go away.</t>
        </is>
      </c>
    </row>
    <row r="6">
      <c r="A6" s="5" t="inlineStr">
        <is>
          <t>stamp_act</t>
        </is>
      </c>
      <c r="B6" s="6" t="inlineStr">
        <is>
          <t>The Stamp Act</t>
        </is>
      </c>
      <c r="C6" s="5" t="inlineStr">
        <is>
          <t>Negative story</t>
        </is>
      </c>
      <c r="D6" s="5" t="inlineStr">
        <is>
          <t>Economic</t>
        </is>
      </c>
      <c r="E6" s="5" t="n">
        <v>3</v>
      </c>
      <c r="F6" s="5" t="n">
        <v>0</v>
      </c>
      <c r="G6" s="5" t="n">
        <v>1</v>
      </c>
      <c r="H6" s="5" t="n">
        <v>0</v>
      </c>
      <c r="I6" s="5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inlineStr">
        <is>
          <t>discard</t>
        </is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/>
      <c r="Y6" s="5" t="n">
        <v>1796</v>
      </c>
      <c r="Z6" s="5" t="n">
        <v>1765</v>
      </c>
      <c r="AA6" s="5" t="n">
        <v>1</v>
      </c>
      <c r="AB6" s="6" t="inlineStr">
        <is>
          <t>+1 influence, +1 Economic. Attack: each rival paper discards a card at random; +1 influence if it hits any of them. Worth no prestige.</t>
        </is>
      </c>
      <c r="AC6" s="6" t="inlineStr">
        <is>
          <t>A tax on every sheet a printer used. The printers led the resistance, and never forgot who had tried to tax the press.</t>
        </is>
      </c>
    </row>
    <row r="7">
      <c r="A7" s="5" t="inlineStr">
        <is>
          <t>boston_massacre</t>
        </is>
      </c>
      <c r="B7" s="6" t="inlineStr">
        <is>
          <t>The Boston Massacre</t>
        </is>
      </c>
      <c r="C7" s="5" t="inlineStr">
        <is>
          <t>Negative story</t>
        </is>
      </c>
      <c r="D7" s="5" t="inlineStr">
        <is>
          <t>Social</t>
        </is>
      </c>
      <c r="E7" s="5" t="n">
        <v>4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inlineStr">
        <is>
          <t>scandal</t>
        </is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/>
      <c r="Y7" s="5" t="n">
        <v>1796</v>
      </c>
      <c r="Z7" s="5" t="n">
        <v>1770</v>
      </c>
      <c r="AA7" s="5" t="n">
        <v>1</v>
      </c>
      <c r="AB7" s="6" t="inlineStr">
        <is>
          <t>+1 influence, +1 Social. Attack: each rival paper gains a Scandal; +1 influence if it hits any of them. Worth no prestige.</t>
        </is>
      </c>
      <c r="AC7" s="6" t="inlineStr">
        <is>
          <t>Five dead on King Street. Revere's engraving of it outsold anything true.</t>
        </is>
      </c>
    </row>
    <row r="8">
      <c r="A8" s="5" t="inlineStr">
        <is>
          <t>tea_party</t>
        </is>
      </c>
      <c r="B8" s="6" t="inlineStr">
        <is>
          <t>The Boston Tea Party</t>
        </is>
      </c>
      <c r="C8" s="5" t="inlineStr">
        <is>
          <t>Economic story</t>
        </is>
      </c>
      <c r="D8" s="5" t="inlineStr">
        <is>
          <t>Economic</t>
        </is>
      </c>
      <c r="E8" s="5" t="n">
        <v>4</v>
      </c>
      <c r="F8" s="5" t="n">
        <v>1</v>
      </c>
      <c r="G8" s="5" t="n">
        <v>2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</v>
      </c>
      <c r="Q8" s="5" t="n">
        <v>0</v>
      </c>
      <c r="R8" s="5" t="n"/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/>
      <c r="Y8" s="5" t="n">
        <v>1796</v>
      </c>
      <c r="Z8" s="5" t="n">
        <v>1773</v>
      </c>
      <c r="AA8" s="5" t="n">
        <v>1</v>
      </c>
      <c r="AB8" s="6" t="inlineStr">
        <is>
          <t>+2 influence, +1 Economic. +1 influence for each other Economic story you play this turn.</t>
        </is>
      </c>
      <c r="AC8" s="6" t="inlineStr">
        <is>
          <t>Three shiploads of East India tea in the harbour, and a question about who governs a colony.</t>
        </is>
      </c>
    </row>
    <row r="9">
      <c r="A9" s="5" t="inlineStr">
        <is>
          <t>common_sense</t>
        </is>
      </c>
      <c r="B9" s="6" t="inlineStr">
        <is>
          <t>Common Sense</t>
        </is>
      </c>
      <c r="C9" s="5" t="inlineStr">
        <is>
          <t>Social story</t>
        </is>
      </c>
      <c r="D9" s="5" t="inlineStr">
        <is>
          <t>Social</t>
        </is>
      </c>
      <c r="E9" s="5" t="n">
        <v>6</v>
      </c>
      <c r="F9" s="5" t="n">
        <v>2</v>
      </c>
      <c r="G9" s="5" t="n">
        <v>0</v>
      </c>
      <c r="H9" s="5" t="n">
        <v>0</v>
      </c>
      <c r="I9" s="5" t="n">
        <v>0</v>
      </c>
      <c r="J9" s="5" t="n">
        <v>2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2</v>
      </c>
      <c r="P9" s="5" t="n">
        <v>0</v>
      </c>
      <c r="Q9" s="5" t="n">
        <v>0</v>
      </c>
      <c r="R9" s="5" t="n"/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/>
      <c r="Y9" s="5" t="n">
        <v>1796</v>
      </c>
      <c r="Z9" s="5" t="n">
        <v>1776</v>
      </c>
      <c r="AA9" s="5" t="n">
        <v>1</v>
      </c>
      <c r="AB9" s="6" t="inlineStr">
        <is>
          <t>+2 Social, draw 1 card. If you play another Social story this turn, +2 influence. Defense: discard this from your hand to ignore a negative story, and draw a card.</t>
        </is>
      </c>
      <c r="AC9" s="6" t="inlineStr">
        <is>
          <t>Paine's pamphlet ran through edition after edition in months. Kings, it turned out, were optional.</t>
        </is>
      </c>
    </row>
    <row r="10">
      <c r="A10" s="5" t="inlineStr">
        <is>
          <t>declaration</t>
        </is>
      </c>
      <c r="B10" s="6" t="inlineStr">
        <is>
          <t>The Declaration of Independence</t>
        </is>
      </c>
      <c r="C10" s="5" t="inlineStr">
        <is>
          <t>Political story</t>
        </is>
      </c>
      <c r="D10" s="5" t="inlineStr">
        <is>
          <t>Political</t>
        </is>
      </c>
      <c r="E10" s="5" t="n">
        <v>5</v>
      </c>
      <c r="F10" s="5" t="n">
        <v>1</v>
      </c>
      <c r="G10" s="5" t="n">
        <v>2</v>
      </c>
      <c r="H10" s="5" t="n">
        <v>2</v>
      </c>
      <c r="I10" s="5" t="n">
        <v>0</v>
      </c>
      <c r="J10" s="5" t="n">
        <v>0</v>
      </c>
      <c r="K10" s="5" t="n">
        <v>2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/>
      <c r="S10" s="5" t="n">
        <v>0</v>
      </c>
      <c r="T10" s="5" t="n">
        <v>1</v>
      </c>
      <c r="U10" s="5" t="n">
        <v>0</v>
      </c>
      <c r="V10" s="5" t="n">
        <v>0</v>
      </c>
      <c r="W10" s="5" t="n">
        <v>0</v>
      </c>
      <c r="X10" s="5" t="n"/>
      <c r="Y10" s="5" t="n">
        <v>1796</v>
      </c>
      <c r="Z10" s="5" t="n">
        <v>1776</v>
      </c>
      <c r="AA10" s="5" t="n">
        <v>1</v>
      </c>
      <c r="AB10" s="6" t="inlineStr">
        <is>
          <t>+2 influence, +2 Political, +2 Campaign (elections only). Retraction: draw a card, and you may destroy a Scandal in your hand or discard pile.</t>
        </is>
      </c>
      <c r="AC10" s="6" t="inlineStr">
        <is>
          <t>Printed overnight as a broadside and read aloud from courthouse steps. Everyone would claim it.</t>
        </is>
      </c>
    </row>
    <row r="11">
      <c r="A11" s="5" t="inlineStr">
        <is>
          <t>saratoga</t>
        </is>
      </c>
      <c r="B11" s="6" t="inlineStr">
        <is>
          <t>Saratoga</t>
        </is>
      </c>
      <c r="C11" s="5" t="inlineStr">
        <is>
          <t>Political story</t>
        </is>
      </c>
      <c r="D11" s="5" t="inlineStr">
        <is>
          <t>Political</t>
        </is>
      </c>
      <c r="E11" s="5" t="n">
        <v>5</v>
      </c>
      <c r="F11" s="5" t="n">
        <v>1</v>
      </c>
      <c r="G11" s="5" t="n">
        <v>2</v>
      </c>
      <c r="H11" s="5" t="n">
        <v>2</v>
      </c>
      <c r="I11" s="5" t="n">
        <v>0</v>
      </c>
      <c r="J11" s="5" t="n">
        <v>0</v>
      </c>
      <c r="K11" s="5" t="n">
        <v>2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/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/>
      <c r="Y11" s="5" t="n">
        <v>1796</v>
      </c>
      <c r="Z11" s="5" t="n">
        <v>1777</v>
      </c>
      <c r="AA11" s="5" t="n">
        <v>1</v>
      </c>
      <c r="AB11" s="6" t="inlineStr">
        <is>
          <t>+2 influence, +2 Political, +2 Campaign (elections only). Retraction: draw a card, and you may destroy a Scandal in your hand or discard pile.</t>
        </is>
      </c>
      <c r="AC11" s="6" t="inlineStr">
        <is>
          <t>Burgoyne surrendered an army, and France decided the rebellion was worth backing.</t>
        </is>
      </c>
    </row>
    <row r="12">
      <c r="A12" s="5" t="inlineStr">
        <is>
          <t>valley_forge</t>
        </is>
      </c>
      <c r="B12" s="6" t="inlineStr">
        <is>
          <t>Valley Forge</t>
        </is>
      </c>
      <c r="C12" s="5" t="inlineStr">
        <is>
          <t>Social story</t>
        </is>
      </c>
      <c r="D12" s="5" t="inlineStr">
        <is>
          <t>Social</t>
        </is>
      </c>
      <c r="E12" s="5" t="n">
        <v>2</v>
      </c>
      <c r="F12" s="5" t="n">
        <v>1</v>
      </c>
      <c r="G12" s="5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/>
      <c r="S12" s="5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/>
      <c r="Y12" s="5" t="n">
        <v>1796</v>
      </c>
      <c r="Z12" s="5" t="n">
        <v>1777</v>
      </c>
      <c r="AA12" s="5" t="n">
        <v>1</v>
      </c>
      <c r="AB12" s="6" t="inlineStr">
        <is>
          <t>+1 influence, draw 1 card. Defense: discard this from your hand to ignore a negative story, and draw a card.</t>
        </is>
      </c>
      <c r="AC12" s="6" t="inlineStr">
        <is>
          <t>A winter camp starved by a Congress that could ask the states for supplies but not require them.</t>
        </is>
      </c>
    </row>
    <row r="13">
      <c r="A13" s="5" t="inlineStr">
        <is>
          <t>articles_confederation</t>
        </is>
      </c>
      <c r="B13" s="6" t="inlineStr">
        <is>
          <t>The Articles of Confederation</t>
        </is>
      </c>
      <c r="C13" s="5" t="inlineStr">
        <is>
          <t>Political story</t>
        </is>
      </c>
      <c r="D13" s="5" t="inlineStr">
        <is>
          <t>Political</t>
        </is>
      </c>
      <c r="E13" s="5" t="n">
        <v>2</v>
      </c>
      <c r="F13" s="5" t="n">
        <v>1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/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/>
      <c r="Y13" s="5" t="n">
        <v>1796</v>
      </c>
      <c r="Z13" s="5" t="n">
        <v>1781</v>
      </c>
      <c r="AA13" s="5" t="n">
        <v>1</v>
      </c>
      <c r="AB13" s="6" t="inlineStr">
        <is>
          <t>+1 influence, +2 Political.</t>
        </is>
      </c>
      <c r="AC13" s="6" t="inlineStr">
        <is>
          <t>A league of friendship among sovereign states, with no power to tax and no one to enforce it.</t>
        </is>
      </c>
    </row>
    <row r="14">
      <c r="A14" s="5" t="inlineStr">
        <is>
          <t>newburgh</t>
        </is>
      </c>
      <c r="B14" s="6" t="inlineStr">
        <is>
          <t>The Newburgh Conspiracy</t>
        </is>
      </c>
      <c r="C14" s="5" t="inlineStr">
        <is>
          <t>Negative story</t>
        </is>
      </c>
      <c r="D14" s="5" t="inlineStr">
        <is>
          <t>Political</t>
        </is>
      </c>
      <c r="E14" s="5" t="n">
        <v>2</v>
      </c>
      <c r="F14" s="5" t="n">
        <v>0</v>
      </c>
      <c r="G14" s="5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inlineStr">
        <is>
          <t>discard</t>
        </is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/>
      <c r="Y14" s="5" t="n">
        <v>1796</v>
      </c>
      <c r="Z14" s="5" t="n">
        <v>1783</v>
      </c>
      <c r="AA14" s="5" t="n">
        <v>1</v>
      </c>
      <c r="AB14" s="6" t="inlineStr">
        <is>
          <t>+1 influence. Attack: each rival paper discards a card at random; +1 influence if it hits any of them. Worth no prestige.</t>
        </is>
      </c>
      <c r="AC14" s="6" t="inlineStr">
        <is>
          <t>Unpaid officers threatened Congress. Washington fumbled for his spectacles and talked them down.</t>
        </is>
      </c>
    </row>
    <row r="15">
      <c r="A15" s="5" t="inlineStr">
        <is>
          <t>treaty_of_paris</t>
        </is>
      </c>
      <c r="B15" s="6" t="inlineStr">
        <is>
          <t>The Treaty of Paris</t>
        </is>
      </c>
      <c r="C15" s="5" t="inlineStr">
        <is>
          <t>Economic story</t>
        </is>
      </c>
      <c r="D15" s="5" t="inlineStr">
        <is>
          <t>Economic</t>
        </is>
      </c>
      <c r="E15" s="5" t="n">
        <v>6</v>
      </c>
      <c r="F15" s="5" t="n">
        <v>2</v>
      </c>
      <c r="G15" s="5" t="n">
        <v>2</v>
      </c>
      <c r="H15" s="5" t="n">
        <v>0</v>
      </c>
      <c r="I15" s="5" t="n">
        <v>2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4</v>
      </c>
      <c r="O15" s="5" t="n">
        <v>0</v>
      </c>
      <c r="P15" s="5" t="n">
        <v>1</v>
      </c>
      <c r="Q15" s="5" t="n">
        <v>0</v>
      </c>
      <c r="R15" s="5" t="n"/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/>
      <c r="Y15" s="5" t="n">
        <v>1796</v>
      </c>
      <c r="Z15" s="5" t="n">
        <v>1783</v>
      </c>
      <c r="AA15" s="5" t="n">
        <v>1</v>
      </c>
      <c r="AB15" s="6" t="inlineStr">
        <is>
          <t>+2 influence, +2 Economic. Gain a story costing 4 or less from the exchange. +1 influence for each other Economic story you play this turn.</t>
        </is>
      </c>
      <c r="AC15" s="6" t="inlineStr">
        <is>
          <t>Independence, fisheries and the land to the Mississippi. Peace sells as well as war.</t>
        </is>
      </c>
    </row>
    <row r="16">
      <c r="A16" s="5" t="inlineStr">
        <is>
          <t>pennsylvania_packet</t>
        </is>
      </c>
      <c r="B16" s="6" t="inlineStr">
        <is>
          <t>The First American Daily</t>
        </is>
      </c>
      <c r="C16" s="5" t="inlineStr">
        <is>
          <t>Media event</t>
        </is>
      </c>
      <c r="D16" s="5" t="n"/>
      <c r="E16" s="5" t="n">
        <v>5</v>
      </c>
      <c r="F16" s="5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/>
      <c r="S16" s="5" t="n">
        <v>0</v>
      </c>
      <c r="T16" s="5" t="n">
        <v>0</v>
      </c>
      <c r="U16" s="5" t="n">
        <v>1</v>
      </c>
      <c r="V16" s="5" t="n">
        <v>0</v>
      </c>
      <c r="W16" s="5" t="n">
        <v>1</v>
      </c>
      <c r="X16" s="5" t="inlineStr">
        <is>
          <t>Economic</t>
        </is>
      </c>
      <c r="Y16" s="5" t="n">
        <v>1796</v>
      </c>
      <c r="Z16" s="5" t="n">
        <v>1784</v>
      </c>
      <c r="AA16" s="5" t="n">
        <v>1</v>
      </c>
      <c r="AB16" s="6" t="inlineStr">
        <is>
          <t>Stays in play for the rest of the game. Ongoing: at the start of each of your turns, +1 influence. Every other paper gets +1 Economic influence at the start of each of its turns.</t>
        </is>
      </c>
      <c r="AC16" s="6" t="inlineStr">
        <is>
          <t>The Pennsylvania Packet went daily. Advertisers discovered they could reach a city every morning.</t>
        </is>
      </c>
    </row>
    <row r="17">
      <c r="A17" s="5" t="inlineStr">
        <is>
          <t>shays_rebellion</t>
        </is>
      </c>
      <c r="B17" s="6" t="inlineStr">
        <is>
          <t>Shays' Rebellion</t>
        </is>
      </c>
      <c r="C17" s="5" t="inlineStr">
        <is>
          <t>Negative story</t>
        </is>
      </c>
      <c r="D17" s="5" t="inlineStr">
        <is>
          <t>Economic</t>
        </is>
      </c>
      <c r="E17" s="5" t="n">
        <v>3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inlineStr">
        <is>
          <t>discard</t>
        </is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/>
      <c r="Y17" s="5" t="n">
        <v>1796</v>
      </c>
      <c r="Z17" s="5" t="n">
        <v>1786</v>
      </c>
      <c r="AA17" s="5" t="n">
        <v>1</v>
      </c>
      <c r="AB17" s="6" t="inlineStr">
        <is>
          <t>+1 influence, +1 Economic. Attack: each rival paper discards a card at random; +1 influence if it hits any of them. Worth no prestige.</t>
        </is>
      </c>
      <c r="AC17" s="6" t="inlineStr">
        <is>
          <t>Farmers closed the courts in western Massachusetts, and the Confederation could do nothing about it.</t>
        </is>
      </c>
    </row>
    <row r="18">
      <c r="A18" s="5" t="inlineStr">
        <is>
          <t>antifederalist_papers</t>
        </is>
      </c>
      <c r="B18" s="6" t="inlineStr">
        <is>
          <t>Brutus and the Federal Farmer</t>
        </is>
      </c>
      <c r="C18" s="5" t="inlineStr">
        <is>
          <t>Political story</t>
        </is>
      </c>
      <c r="D18" s="5" t="inlineStr">
        <is>
          <t>Political</t>
        </is>
      </c>
      <c r="E18" s="5" t="n">
        <v>3</v>
      </c>
      <c r="F18" s="5" t="n">
        <v>1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/>
      <c r="S18" s="5" t="n">
        <v>0</v>
      </c>
      <c r="T18" s="5" t="n">
        <v>1</v>
      </c>
      <c r="U18" s="5" t="n">
        <v>0</v>
      </c>
      <c r="V18" s="5" t="n">
        <v>0</v>
      </c>
      <c r="W18" s="5" t="n">
        <v>0</v>
      </c>
      <c r="X18" s="5" t="n"/>
      <c r="Y18" s="5" t="n">
        <v>1796</v>
      </c>
      <c r="Z18" s="5" t="n">
        <v>1787</v>
      </c>
      <c r="AA18" s="5" t="n">
        <v>1</v>
      </c>
      <c r="AB18" s="6" t="inlineStr">
        <is>
          <t>+1 influence, +2 Political, +1 Campaign (elections only). Retraction: draw a card, and you may destroy a Scandal in your hand or discard pile.</t>
        </is>
      </c>
      <c r="AC18" s="6" t="inlineStr">
        <is>
          <t>The case against ratification: a consolidated government would swallow the states and the liberties with them.</t>
        </is>
      </c>
    </row>
    <row r="19">
      <c r="A19" s="5" t="inlineStr">
        <is>
          <t>constitutional_convention</t>
        </is>
      </c>
      <c r="B19" s="6" t="inlineStr">
        <is>
          <t>The Constitutional Convention</t>
        </is>
      </c>
      <c r="C19" s="5" t="inlineStr">
        <is>
          <t>Political story</t>
        </is>
      </c>
      <c r="D19" s="5" t="inlineStr">
        <is>
          <t>Political</t>
        </is>
      </c>
      <c r="E19" s="5" t="n">
        <v>3</v>
      </c>
      <c r="F19" s="5" t="n">
        <v>1</v>
      </c>
      <c r="G19" s="5" t="n">
        <v>1</v>
      </c>
      <c r="H19" s="5" t="n">
        <v>2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/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/>
      <c r="Y19" s="5" t="n">
        <v>1796</v>
      </c>
      <c r="Z19" s="5" t="n">
        <v>1787</v>
      </c>
      <c r="AA19" s="5" t="n">
        <v>1</v>
      </c>
      <c r="AB19" s="6" t="inlineStr">
        <is>
          <t>+1 influence, +2 Political, +1 Campaign (elections only). Retraction: draw a card, and you may destroy a Scandal in your hand or discard pile.</t>
        </is>
      </c>
      <c r="AC19" s="6" t="inlineStr">
        <is>
          <t>Delegates sent to amend the Articles locked the doors in Philadelphia and wrote a new government.</t>
        </is>
      </c>
    </row>
    <row r="20">
      <c r="A20" s="5" t="inlineStr">
        <is>
          <t>federalist_papers</t>
        </is>
      </c>
      <c r="B20" s="6" t="inlineStr">
        <is>
          <t>The Federalist</t>
        </is>
      </c>
      <c r="C20" s="5" t="inlineStr">
        <is>
          <t>Political story</t>
        </is>
      </c>
      <c r="D20" s="5" t="inlineStr">
        <is>
          <t>Political</t>
        </is>
      </c>
      <c r="E20" s="5" t="n">
        <v>4</v>
      </c>
      <c r="F20" s="5" t="n">
        <v>1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1</v>
      </c>
      <c r="R20" s="5" t="n"/>
      <c r="S20" s="5" t="n">
        <v>0</v>
      </c>
      <c r="T20" s="5" t="n">
        <v>1</v>
      </c>
      <c r="U20" s="5" t="n">
        <v>0</v>
      </c>
      <c r="V20" s="5" t="n">
        <v>0</v>
      </c>
      <c r="W20" s="5" t="n">
        <v>0</v>
      </c>
      <c r="X20" s="5" t="n"/>
      <c r="Y20" s="5" t="n">
        <v>1796</v>
      </c>
      <c r="Z20" s="5" t="n">
        <v>1787</v>
      </c>
      <c r="AA20" s="5" t="n">
        <v>1</v>
      </c>
      <c r="AB20" s="6" t="inlineStr">
        <is>
          <t>+1 influence, +2 Political. +1 Political for each election you have won. Retraction: draw a card, and you may destroy a Scandal in your hand or discard pile.</t>
        </is>
      </c>
      <c r="AC20" s="6" t="inlineStr">
        <is>
          <t>Eighty-five essays by Publius in the New York papers, arguing for a government that could act.</t>
        </is>
      </c>
    </row>
    <row r="21">
      <c r="A21" s="5" t="inlineStr">
        <is>
          <t>northwest_ordinance</t>
        </is>
      </c>
      <c r="B21" s="6" t="inlineStr">
        <is>
          <t>The Northwest Ordinance</t>
        </is>
      </c>
      <c r="C21" s="5" t="inlineStr">
        <is>
          <t>Economic story</t>
        </is>
      </c>
      <c r="D21" s="5" t="inlineStr">
        <is>
          <t>Economic</t>
        </is>
      </c>
      <c r="E21" s="5" t="n">
        <v>3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/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/>
      <c r="Y21" s="5" t="n">
        <v>1796</v>
      </c>
      <c r="Z21" s="5" t="n">
        <v>1787</v>
      </c>
      <c r="AA21" s="5" t="n">
        <v>1</v>
      </c>
      <c r="AB21" s="6" t="inlineStr">
        <is>
          <t>+1 influence, +1 Economic. You may destroy a card in your hand or discard pile. +1 influence for each other Economic story you play this turn.</t>
        </is>
      </c>
      <c r="AC21" s="6" t="inlineStr">
        <is>
          <t>Congress would govern the western territories, and no slavery would cross the Ohio.</t>
        </is>
      </c>
    </row>
    <row r="22">
      <c r="A22" s="5" t="inlineStr">
        <is>
          <t>gazette_of_the_us</t>
        </is>
      </c>
      <c r="B22" s="6" t="inlineStr">
        <is>
          <t>The Gazette of the United States</t>
        </is>
      </c>
      <c r="C22" s="5" t="inlineStr">
        <is>
          <t>Social story</t>
        </is>
      </c>
      <c r="D22" s="5" t="inlineStr">
        <is>
          <t>Social</t>
        </is>
      </c>
      <c r="E22" s="5" t="n">
        <v>4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2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1</v>
      </c>
      <c r="P22" s="5" t="n">
        <v>0</v>
      </c>
      <c r="Q22" s="5" t="n">
        <v>0</v>
      </c>
      <c r="R22" s="5" t="n"/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/>
      <c r="Y22" s="5" t="n">
        <v>1796</v>
      </c>
      <c r="Z22" s="5" t="n">
        <v>1789</v>
      </c>
      <c r="AA22" s="5" t="n">
        <v>1</v>
      </c>
      <c r="AB22" s="6" t="inlineStr">
        <is>
          <t>+2 Social, draw 1 card. If you play another Social story this turn, +1 influence.</t>
        </is>
      </c>
      <c r="AC22" s="6" t="inlineStr">
        <is>
          <t>Fenno's paper followed the government to New York and spoke for Hamilton's Treasury.</t>
        </is>
      </c>
    </row>
    <row r="23">
      <c r="A23" s="5" t="inlineStr">
        <is>
          <t>judiciary_act</t>
        </is>
      </c>
      <c r="B23" s="6" t="inlineStr">
        <is>
          <t>The Judiciary Act</t>
        </is>
      </c>
      <c r="C23" s="5" t="inlineStr">
        <is>
          <t>Political story</t>
        </is>
      </c>
      <c r="D23" s="5" t="inlineStr">
        <is>
          <t>Political</t>
        </is>
      </c>
      <c r="E23" s="5" t="n">
        <v>2</v>
      </c>
      <c r="F23" s="5" t="n">
        <v>1</v>
      </c>
      <c r="G23" s="5" t="n">
        <v>1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/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/>
      <c r="Y23" s="5" t="n">
        <v>1796</v>
      </c>
      <c r="Z23" s="5" t="n">
        <v>1789</v>
      </c>
      <c r="AA23" s="5" t="n">
        <v>1</v>
      </c>
      <c r="AB23" s="6" t="inlineStr">
        <is>
          <t>+1 influence, +2 Political.</t>
        </is>
      </c>
      <c r="AC23" s="6" t="inlineStr">
        <is>
          <t>A Supreme Court, circuit courts and district courts: the federal government acquired a reach.</t>
        </is>
      </c>
    </row>
    <row r="24">
      <c r="A24" s="5" t="inlineStr">
        <is>
          <t>assumption</t>
        </is>
      </c>
      <c r="B24" s="6" t="inlineStr">
        <is>
          <t>The Assumption of State Debts</t>
        </is>
      </c>
      <c r="C24" s="5" t="inlineStr">
        <is>
          <t>Economic story</t>
        </is>
      </c>
      <c r="D24" s="5" t="inlineStr">
        <is>
          <t>Economic</t>
        </is>
      </c>
      <c r="E24" s="5" t="n">
        <v>4</v>
      </c>
      <c r="F24" s="5" t="n">
        <v>1</v>
      </c>
      <c r="G24" s="5" t="n">
        <v>2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/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/>
      <c r="Y24" s="5" t="n">
        <v>1796</v>
      </c>
      <c r="Z24" s="5" t="n">
        <v>1790</v>
      </c>
      <c r="AA24" s="5" t="n">
        <v>1</v>
      </c>
      <c r="AB24" s="6" t="inlineStr">
        <is>
          <t>+2 influence, +1 Economic. +1 influence for each other Economic story you play this turn.</t>
        </is>
      </c>
      <c r="AC24" s="6" t="inlineStr">
        <is>
          <t>The nation took on the war debts of the states, and the speculators who held them grew rich.</t>
        </is>
      </c>
    </row>
    <row r="25">
      <c r="A25" s="5" t="inlineStr">
        <is>
          <t>residence_act</t>
        </is>
      </c>
      <c r="B25" s="6" t="inlineStr">
        <is>
          <t>The Residence Act</t>
        </is>
      </c>
      <c r="C25" s="5" t="inlineStr">
        <is>
          <t>Economic story</t>
        </is>
      </c>
      <c r="D25" s="5" t="inlineStr">
        <is>
          <t>Economic</t>
        </is>
      </c>
      <c r="E25" s="5" t="n">
        <v>4</v>
      </c>
      <c r="F25" s="5" t="n">
        <v>1</v>
      </c>
      <c r="G25" s="5" t="n">
        <v>2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/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/>
      <c r="Y25" s="5" t="n">
        <v>1796</v>
      </c>
      <c r="Z25" s="5" t="n">
        <v>1790</v>
      </c>
      <c r="AA25" s="5" t="n">
        <v>1</v>
      </c>
      <c r="AB25" s="6" t="inlineStr">
        <is>
          <t>+2 influence, +1 Economic. +1 influence for each other Economic story you play this turn.</t>
        </is>
      </c>
      <c r="AC25" s="6" t="inlineStr">
        <is>
          <t>The capital would go to the Potomac, the price the South extracted for assumption.</t>
        </is>
      </c>
    </row>
    <row r="26">
      <c r="A26" s="5" t="inlineStr">
        <is>
          <t>bank_of_the_us</t>
        </is>
      </c>
      <c r="B26" s="6" t="inlineStr">
        <is>
          <t>The Bank of the United States</t>
        </is>
      </c>
      <c r="C26" s="5" t="inlineStr">
        <is>
          <t>Economic story</t>
        </is>
      </c>
      <c r="D26" s="5" t="inlineStr">
        <is>
          <t>Economic</t>
        </is>
      </c>
      <c r="E26" s="5" t="n">
        <v>5</v>
      </c>
      <c r="F26" s="5" t="n">
        <v>1</v>
      </c>
      <c r="G26" s="5" t="n">
        <v>2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1</v>
      </c>
      <c r="Q26" s="5" t="n">
        <v>0</v>
      </c>
      <c r="R26" s="5" t="n"/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/>
      <c r="Y26" s="5" t="n">
        <v>1796</v>
      </c>
      <c r="Z26" s="5" t="n">
        <v>1791</v>
      </c>
      <c r="AA26" s="5" t="n">
        <v>1</v>
      </c>
      <c r="AB26" s="6" t="inlineStr">
        <is>
          <t>+2 influence, +1 Economic. You may destroy a card in your hand or discard pile. +1 influence for each other Economic story you play this turn.</t>
        </is>
      </c>
      <c r="AC26" s="6" t="inlineStr">
        <is>
          <t>Hamilton's bank, chartered under powers the Constitution never named. Jefferson called it unconstitutional.</t>
        </is>
      </c>
    </row>
    <row r="27">
      <c r="A27" s="5" t="inlineStr">
        <is>
          <t>bill_of_rights</t>
        </is>
      </c>
      <c r="B27" s="6" t="inlineStr">
        <is>
          <t>The Bill of Rights</t>
        </is>
      </c>
      <c r="C27" s="5" t="inlineStr">
        <is>
          <t>Social story</t>
        </is>
      </c>
      <c r="D27" s="5" t="inlineStr">
        <is>
          <t>Social</t>
        </is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/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/>
      <c r="Y27" s="5" t="n">
        <v>1796</v>
      </c>
      <c r="Z27" s="5" t="n">
        <v>1791</v>
      </c>
      <c r="AA27" s="5" t="n">
        <v>1</v>
      </c>
      <c r="AB27" s="6" t="inlineStr">
        <is>
          <t>+1 influence, draw 1 card. Defense: discard this from your hand to ignore a negative story, and draw a card.</t>
        </is>
      </c>
      <c r="AC27" s="6" t="inlineStr">
        <is>
          <t>Ten amendments, the first of which said Congress shall make no law abridging the freedom of the press.</t>
        </is>
      </c>
    </row>
    <row r="28">
      <c r="A28" s="5" t="inlineStr">
        <is>
          <t>national_gazette</t>
        </is>
      </c>
      <c r="B28" s="6" t="inlineStr">
        <is>
          <t>The National Gazette</t>
        </is>
      </c>
      <c r="C28" s="5" t="inlineStr">
        <is>
          <t>Social story</t>
        </is>
      </c>
      <c r="D28" s="5" t="inlineStr">
        <is>
          <t>Social</t>
        </is>
      </c>
      <c r="E28" s="5" t="n">
        <v>4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2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0</v>
      </c>
      <c r="R28" s="5" t="n"/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/>
      <c r="Y28" s="5" t="n">
        <v>1796</v>
      </c>
      <c r="Z28" s="5" t="n">
        <v>1791</v>
      </c>
      <c r="AA28" s="5" t="n">
        <v>1</v>
      </c>
      <c r="AB28" s="6" t="inlineStr">
        <is>
          <t>+2 Social, draw 1 card. If you play another Social story this turn, +1 influence.</t>
        </is>
      </c>
      <c r="AC28" s="6" t="inlineStr">
        <is>
          <t>Freneau's opposition paper, subsidised by a clerkship in Jefferson's own State Department.</t>
        </is>
      </c>
    </row>
    <row r="29">
      <c r="A29" s="5" t="inlineStr">
        <is>
          <t>report_manufactures</t>
        </is>
      </c>
      <c r="B29" s="6" t="inlineStr">
        <is>
          <t>The Report on Manufactures</t>
        </is>
      </c>
      <c r="C29" s="5" t="inlineStr">
        <is>
          <t>Economic story</t>
        </is>
      </c>
      <c r="D29" s="5" t="inlineStr">
        <is>
          <t>Economic</t>
        </is>
      </c>
      <c r="E29" s="5" t="n">
        <v>4</v>
      </c>
      <c r="F29" s="5" t="n">
        <v>1</v>
      </c>
      <c r="G29" s="5" t="n">
        <v>2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/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/>
      <c r="Y29" s="5" t="n">
        <v>1796</v>
      </c>
      <c r="Z29" s="5" t="n">
        <v>1791</v>
      </c>
      <c r="AA29" s="5" t="n">
        <v>1</v>
      </c>
      <c r="AB29" s="6" t="inlineStr">
        <is>
          <t>+2 influence, +1 Economic. +1 influence for each other Economic story you play this turn.</t>
        </is>
      </c>
      <c r="AC29" s="6" t="inlineStr">
        <is>
          <t>Hamilton on why a farming republic should build factories it does not yet want.</t>
        </is>
      </c>
    </row>
    <row r="30">
      <c r="A30" s="5" t="inlineStr">
        <is>
          <t>rights_of_man</t>
        </is>
      </c>
      <c r="B30" s="6" t="inlineStr">
        <is>
          <t>The Rights of Man</t>
        </is>
      </c>
      <c r="C30" s="5" t="inlineStr">
        <is>
          <t>Social story</t>
        </is>
      </c>
      <c r="D30" s="5" t="inlineStr">
        <is>
          <t>Social</t>
        </is>
      </c>
      <c r="E30" s="5" t="n">
        <v>4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2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1</v>
      </c>
      <c r="P30" s="5" t="n">
        <v>0</v>
      </c>
      <c r="Q30" s="5" t="n">
        <v>0</v>
      </c>
      <c r="R30" s="5" t="n"/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/>
      <c r="Y30" s="5" t="n">
        <v>1796</v>
      </c>
      <c r="Z30" s="5" t="n">
        <v>1791</v>
      </c>
      <c r="AA30" s="5" t="n">
        <v>1</v>
      </c>
      <c r="AB30" s="6" t="inlineStr">
        <is>
          <t>+2 Social, draw 1 card. If you play another Social story this turn, +1 influence.</t>
        </is>
      </c>
      <c r="AC30" s="6" t="inlineStr">
        <is>
          <t>Paine's defence of the French Revolution, printed in America with a note from the Secretary of State.</t>
        </is>
      </c>
    </row>
    <row r="31">
      <c r="A31" s="5" t="inlineStr">
        <is>
          <t>postal_act_1792</t>
        </is>
      </c>
      <c r="B31" s="6" t="inlineStr">
        <is>
          <t>The Postal Act of 1792</t>
        </is>
      </c>
      <c r="C31" s="5" t="inlineStr">
        <is>
          <t>Media event</t>
        </is>
      </c>
      <c r="D31" s="5" t="n"/>
      <c r="E31" s="5" t="n">
        <v>6</v>
      </c>
      <c r="F31" s="5" t="n">
        <v>2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/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inlineStr">
        <is>
          <t>Political</t>
        </is>
      </c>
      <c r="Y31" s="5" t="n">
        <v>1796</v>
      </c>
      <c r="Z31" s="5" t="n">
        <v>1792</v>
      </c>
      <c r="AA31" s="5" t="n">
        <v>1</v>
      </c>
      <c r="AB31" s="6" t="inlineStr">
        <is>
          <t>Stays in play for the rest of the game. Ongoing: at the start of each of your turns, draw 1 card. Every other paper gets +1 Political influence at the start of each of its turns.</t>
        </is>
      </c>
      <c r="AC31" s="6" t="inlineStr">
        <is>
          <t>Newspapers carried anywhere in the Union for a cent or a cent and a half, and printers swapped papers postage-free. A national press became a business.</t>
        </is>
      </c>
    </row>
    <row r="32">
      <c r="A32" s="5" t="inlineStr">
        <is>
          <t>citizen_genet</t>
        </is>
      </c>
      <c r="B32" s="6" t="inlineStr">
        <is>
          <t>Citizen Genet</t>
        </is>
      </c>
      <c r="C32" s="5" t="inlineStr">
        <is>
          <t>Negative story</t>
        </is>
      </c>
      <c r="D32" s="5" t="inlineStr">
        <is>
          <t>Social</t>
        </is>
      </c>
      <c r="E32" s="5" t="n">
        <v>3</v>
      </c>
      <c r="F32" s="5" t="n">
        <v>0</v>
      </c>
      <c r="G32" s="5" t="n">
        <v>1</v>
      </c>
      <c r="H32" s="5" t="n">
        <v>0</v>
      </c>
      <c r="I32" s="5" t="n">
        <v>0</v>
      </c>
      <c r="J32" s="5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inlineStr">
        <is>
          <t>discard</t>
        </is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/>
      <c r="Y32" s="5" t="n">
        <v>1796</v>
      </c>
      <c r="Z32" s="5" t="n">
        <v>1793</v>
      </c>
      <c r="AA32" s="5" t="n">
        <v>1</v>
      </c>
      <c r="AB32" s="6" t="inlineStr">
        <is>
          <t>+1 influence, +1 Social. Attack: each rival paper discards a card at random; +1 influence if it hits any of them. Worth no prestige.</t>
        </is>
      </c>
      <c r="AC32" s="6" t="inlineStr">
        <is>
          <t>The French minister appealed to the people over Washington's head, and embarrassed his friends.</t>
        </is>
      </c>
    </row>
    <row r="33">
      <c r="A33" s="5" t="inlineStr">
        <is>
          <t>democratic_societies</t>
        </is>
      </c>
      <c r="B33" s="6" t="inlineStr">
        <is>
          <t>The Democratic-Republican Societies</t>
        </is>
      </c>
      <c r="C33" s="5" t="inlineStr">
        <is>
          <t>Social story</t>
        </is>
      </c>
      <c r="D33" s="5" t="inlineStr">
        <is>
          <t>Social</t>
        </is>
      </c>
      <c r="E33" s="5" t="n">
        <v>3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/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/>
      <c r="Y33" s="5" t="n">
        <v>1796</v>
      </c>
      <c r="Z33" s="5" t="n">
        <v>1794</v>
      </c>
      <c r="AA33" s="5" t="n">
        <v>1</v>
      </c>
      <c r="AB33" s="6" t="inlineStr">
        <is>
          <t>+1 Social, draw 1 card. If you play another Social story this turn, +1 influence. Defense: discard this from your hand to ignore a negative story, and draw a card.</t>
        </is>
      </c>
      <c r="AC33" s="6" t="inlineStr">
        <is>
          <t>Clubs of mechanics and farmers toasting France. Washington blamed them for the rebellion in the west.</t>
        </is>
      </c>
    </row>
    <row r="34">
      <c r="A34" s="5" t="inlineStr">
        <is>
          <t>whiskey_rebellion</t>
        </is>
      </c>
      <c r="B34" s="6" t="inlineStr">
        <is>
          <t>The Whiskey Rebellion</t>
        </is>
      </c>
      <c r="C34" s="5" t="inlineStr">
        <is>
          <t>Negative story</t>
        </is>
      </c>
      <c r="D34" s="5" t="inlineStr">
        <is>
          <t>Economic</t>
        </is>
      </c>
      <c r="E34" s="5" t="n">
        <v>3</v>
      </c>
      <c r="F34" s="5" t="n">
        <v>0</v>
      </c>
      <c r="G34" s="5" t="n">
        <v>1</v>
      </c>
      <c r="H34" s="5" t="n">
        <v>0</v>
      </c>
      <c r="I34" s="5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inlineStr">
        <is>
          <t>discard</t>
        </is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/>
      <c r="Y34" s="5" t="n">
        <v>1796</v>
      </c>
      <c r="Z34" s="5" t="n">
        <v>1794</v>
      </c>
      <c r="AA34" s="5" t="n">
        <v>1</v>
      </c>
      <c r="AB34" s="6" t="inlineStr">
        <is>
          <t>+1 influence, +1 Economic. Attack: each rival paper discards a card at random; +1 influence if it hits any of them. Worth no prestige.</t>
        </is>
      </c>
      <c r="AC34" s="6" t="inlineStr">
        <is>
          <t>Thirteen thousand militia marched on western Pennsylvania to collect a tax on whiskey.</t>
        </is>
      </c>
    </row>
    <row r="35">
      <c r="A35" s="5" t="inlineStr">
        <is>
          <t>jay_treaty</t>
        </is>
      </c>
      <c r="B35" s="6" t="inlineStr">
        <is>
          <t>The Jay Treaty</t>
        </is>
      </c>
      <c r="C35" s="5" t="inlineStr">
        <is>
          <t>Political story</t>
        </is>
      </c>
      <c r="D35" s="5" t="inlineStr">
        <is>
          <t>Political</t>
        </is>
      </c>
      <c r="E35" s="5" t="n">
        <v>4</v>
      </c>
      <c r="F35" s="5" t="n">
        <v>1</v>
      </c>
      <c r="G35" s="5" t="n">
        <v>1</v>
      </c>
      <c r="H35" s="5" t="n">
        <v>2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/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/>
      <c r="Y35" s="5" t="n">
        <v>1796</v>
      </c>
      <c r="Z35" s="5" t="n">
        <v>1795</v>
      </c>
      <c r="AA35" s="5" t="n">
        <v>1</v>
      </c>
      <c r="AB35" s="6" t="inlineStr">
        <is>
          <t>+1 influence, +2 Political. +1 Political for each election you have won. Retraction: draw a card, and you may destroy a Scandal in your hand or discard pile.</t>
        </is>
      </c>
      <c r="AC35" s="6" t="inlineStr">
        <is>
          <t>Peace with Britain, bought with the carrying trade. Burned in effigy from Boston to Charleston.</t>
        </is>
      </c>
    </row>
    <row r="36">
      <c r="A36" s="5" t="inlineStr">
        <is>
          <t>alien_sedition</t>
        </is>
      </c>
      <c r="B36" s="6" t="inlineStr">
        <is>
          <t>The Alien and Sedition Acts</t>
        </is>
      </c>
      <c r="C36" s="5" t="inlineStr">
        <is>
          <t>Negative story</t>
        </is>
      </c>
      <c r="D36" s="5" t="inlineStr">
        <is>
          <t>Social</t>
        </is>
      </c>
      <c r="E36" s="5" t="n">
        <v>2</v>
      </c>
      <c r="F36" s="5" t="n">
        <v>0</v>
      </c>
      <c r="G36" s="5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inlineStr">
        <is>
          <t>discard</t>
        </is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/>
      <c r="Y36" s="5" t="n">
        <v>1800</v>
      </c>
      <c r="Z36" s="5" t="n">
        <v>1798</v>
      </c>
      <c r="AA36" s="5" t="n">
        <v>1</v>
      </c>
      <c r="AB36" s="6" t="inlineStr">
        <is>
          <t>+1 influence. Attack: each rival paper discards a card at random; +1 influence if it hits any of them. Worth no prestige.</t>
        </is>
      </c>
      <c r="AC36" s="6" t="inlineStr">
        <is>
          <t>Twenty-five arrests, and most of them printers. The press learned what it was worth.</t>
        </is>
      </c>
    </row>
    <row r="37">
      <c r="A37" s="5" t="inlineStr">
        <is>
          <t>kentucky_resolutions</t>
        </is>
      </c>
      <c r="B37" s="6" t="inlineStr">
        <is>
          <t>The Kentucky and Virginia Resolutions</t>
        </is>
      </c>
      <c r="C37" s="5" t="inlineStr">
        <is>
          <t>Political story</t>
        </is>
      </c>
      <c r="D37" s="5" t="inlineStr">
        <is>
          <t>Political</t>
        </is>
      </c>
      <c r="E37" s="5" t="n">
        <v>2</v>
      </c>
      <c r="F37" s="5" t="n">
        <v>1</v>
      </c>
      <c r="G37" s="5" t="n">
        <v>1</v>
      </c>
      <c r="H37" s="5" t="n">
        <v>2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/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/>
      <c r="Y37" s="5" t="n">
        <v>1800</v>
      </c>
      <c r="Z37" s="5" t="n">
        <v>1798</v>
      </c>
      <c r="AA37" s="5" t="n">
        <v>1</v>
      </c>
      <c r="AB37" s="6" t="inlineStr">
        <is>
          <t>+1 influence, +2 Political.</t>
        </is>
      </c>
      <c r="AC37" s="6" t="inlineStr">
        <is>
          <t>Jefferson and Madison, anonymously, arguing that a state might judge the compact for itself.</t>
        </is>
      </c>
    </row>
    <row r="38">
      <c r="A38" s="5" t="inlineStr">
        <is>
          <t>xyz_affair</t>
        </is>
      </c>
      <c r="B38" s="6" t="inlineStr">
        <is>
          <t>The XYZ Affair</t>
        </is>
      </c>
      <c r="C38" s="5" t="inlineStr">
        <is>
          <t>Negative story</t>
        </is>
      </c>
      <c r="D38" s="5" t="inlineStr">
        <is>
          <t>Social</t>
        </is>
      </c>
      <c r="E38" s="5" t="n">
        <v>4</v>
      </c>
      <c r="F38" s="5" t="n">
        <v>0</v>
      </c>
      <c r="G38" s="5" t="n">
        <v>1</v>
      </c>
      <c r="H38" s="5" t="n">
        <v>0</v>
      </c>
      <c r="I38" s="5" t="n">
        <v>0</v>
      </c>
      <c r="J38" s="5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inlineStr">
        <is>
          <t>scandal</t>
        </is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/>
      <c r="Y38" s="5" t="n">
        <v>1800</v>
      </c>
      <c r="Z38" s="5" t="n">
        <v>1798</v>
      </c>
      <c r="AA38" s="5" t="n">
        <v>1</v>
      </c>
      <c r="AB38" s="6" t="inlineStr">
        <is>
          <t>+1 influence, +1 Social. Attack: each rival paper gains a Scandal; +1 influence if it hits any of them. Worth no prestige.</t>
        </is>
      </c>
      <c r="AC38" s="6" t="inlineStr">
        <is>
          <t>Millions for defence, not one cent for tribute. The best copy the Federalists ever had.</t>
        </is>
      </c>
    </row>
    <row r="39">
      <c r="A39" s="5" t="inlineStr">
        <is>
          <t>marbury</t>
        </is>
      </c>
      <c r="B39" s="6" t="inlineStr">
        <is>
          <t>Marbury v. Madison</t>
        </is>
      </c>
      <c r="C39" s="5" t="inlineStr">
        <is>
          <t>Political story</t>
        </is>
      </c>
      <c r="D39" s="5" t="inlineStr">
        <is>
          <t>Political</t>
        </is>
      </c>
      <c r="E39" s="5" t="n">
        <v>2</v>
      </c>
      <c r="F39" s="5" t="n">
        <v>1</v>
      </c>
      <c r="G39" s="5" t="n">
        <v>1</v>
      </c>
      <c r="H39" s="5" t="n">
        <v>2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/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/>
      <c r="Y39" s="5" t="n">
        <v>1804</v>
      </c>
      <c r="Z39" s="5" t="n">
        <v>1803</v>
      </c>
      <c r="AA39" s="5" t="n">
        <v>1</v>
      </c>
      <c r="AB39" s="6" t="inlineStr">
        <is>
          <t>+1 influence, +2 Political.</t>
        </is>
      </c>
      <c r="AC39" s="6" t="inlineStr">
        <is>
          <t>Marshall gave up a commission and took the power to void an act of Congress.</t>
        </is>
      </c>
    </row>
    <row r="40">
      <c r="A40" s="5" t="inlineStr">
        <is>
          <t>louisiana_purchase</t>
        </is>
      </c>
      <c r="B40" s="6" t="inlineStr">
        <is>
          <t>The Louisiana Purchase</t>
        </is>
      </c>
      <c r="C40" s="5" t="inlineStr">
        <is>
          <t>Economic story</t>
        </is>
      </c>
      <c r="D40" s="5" t="inlineStr">
        <is>
          <t>Economic</t>
        </is>
      </c>
      <c r="E40" s="5" t="n">
        <v>6</v>
      </c>
      <c r="F40" s="5" t="n">
        <v>2</v>
      </c>
      <c r="G40" s="5" t="n">
        <v>2</v>
      </c>
      <c r="H40" s="5" t="n">
        <v>0</v>
      </c>
      <c r="I40" s="5" t="n">
        <v>2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4</v>
      </c>
      <c r="O40" s="5" t="n">
        <v>0</v>
      </c>
      <c r="P40" s="5" t="n">
        <v>1</v>
      </c>
      <c r="Q40" s="5" t="n">
        <v>0</v>
      </c>
      <c r="R40" s="5" t="n"/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/>
      <c r="Y40" s="5" t="n">
        <v>1804</v>
      </c>
      <c r="Z40" s="5" t="n">
        <v>1803</v>
      </c>
      <c r="AA40" s="5" t="n">
        <v>1</v>
      </c>
      <c r="AB40" s="6" t="inlineStr">
        <is>
          <t>+2 influence, +2 Economic. Gain a story costing 4 or less from the exchange. +1 influence for each other Economic story you play this turn.</t>
        </is>
      </c>
      <c r="AC40" s="6" t="inlineStr">
        <is>
          <t>Fifteen million dollars, and a strict constructionist who could not find the clause.</t>
        </is>
      </c>
    </row>
    <row r="41">
      <c r="A41" s="5" t="inlineStr">
        <is>
          <t>burr_conspiracy</t>
        </is>
      </c>
      <c r="B41" s="6" t="inlineStr">
        <is>
          <t>The Burr Conspiracy</t>
        </is>
      </c>
      <c r="C41" s="5" t="inlineStr">
        <is>
          <t>Negative story</t>
        </is>
      </c>
      <c r="D41" s="5" t="inlineStr">
        <is>
          <t>Social</t>
        </is>
      </c>
      <c r="E41" s="5" t="n">
        <v>4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inlineStr">
        <is>
          <t>scandal</t>
        </is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/>
      <c r="Y41" s="5" t="n">
        <v>1808</v>
      </c>
      <c r="Z41" s="5" t="n">
        <v>1807</v>
      </c>
      <c r="AA41" s="5" t="n">
        <v>1</v>
      </c>
      <c r="AB41" s="6" t="inlineStr">
        <is>
          <t>+1 influence, +1 Social. Attack: each rival paper gains a Scandal; +1 influence if it hits any of them. Worth no prestige.</t>
        </is>
      </c>
      <c r="AC41" s="6" t="inlineStr">
        <is>
          <t>A former Vice President tried for treason over a western empire. Jefferson wanted him hanged; Marshall let him walk.</t>
        </is>
      </c>
    </row>
    <row r="42">
      <c r="A42" s="5" t="inlineStr">
        <is>
          <t>chesapeake_affair</t>
        </is>
      </c>
      <c r="B42" s="6" t="inlineStr">
        <is>
          <t>The Chesapeake Affair</t>
        </is>
      </c>
      <c r="C42" s="5" t="inlineStr">
        <is>
          <t>Social story</t>
        </is>
      </c>
      <c r="D42" s="5" t="inlineStr">
        <is>
          <t>Social</t>
        </is>
      </c>
      <c r="E42" s="5" t="n">
        <v>4</v>
      </c>
      <c r="F42" s="5" t="n">
        <v>1</v>
      </c>
      <c r="G42" s="5" t="n">
        <v>0</v>
      </c>
      <c r="H42" s="5" t="n">
        <v>0</v>
      </c>
      <c r="I42" s="5" t="n">
        <v>0</v>
      </c>
      <c r="J42" s="5" t="n">
        <v>2</v>
      </c>
      <c r="K42" s="5" t="n">
        <v>0</v>
      </c>
      <c r="L42" s="5" t="n">
        <v>1</v>
      </c>
      <c r="M42" s="5" t="n">
        <v>0</v>
      </c>
      <c r="N42" s="5" t="n">
        <v>0</v>
      </c>
      <c r="O42" s="5" t="n">
        <v>1</v>
      </c>
      <c r="P42" s="5" t="n">
        <v>0</v>
      </c>
      <c r="Q42" s="5" t="n">
        <v>0</v>
      </c>
      <c r="R42" s="5" t="n"/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/>
      <c r="Y42" s="5" t="n">
        <v>1808</v>
      </c>
      <c r="Z42" s="5" t="n">
        <v>1807</v>
      </c>
      <c r="AA42" s="5" t="n">
        <v>1</v>
      </c>
      <c r="AB42" s="6" t="inlineStr">
        <is>
          <t>+2 Social, draw 1 card. If you play another Social story this turn, +1 influence.</t>
        </is>
      </c>
      <c r="AC42" s="6" t="inlineStr">
        <is>
          <t>A British broadside into an American frigate in American water. Impressment made personal.</t>
        </is>
      </c>
    </row>
    <row r="43">
      <c r="A43" s="5" t="inlineStr">
        <is>
          <t>embargo_act</t>
        </is>
      </c>
      <c r="B43" s="6" t="inlineStr">
        <is>
          <t>The Embargo Act</t>
        </is>
      </c>
      <c r="C43" s="5" t="inlineStr">
        <is>
          <t>Economic story</t>
        </is>
      </c>
      <c r="D43" s="5" t="inlineStr">
        <is>
          <t>Economic</t>
        </is>
      </c>
      <c r="E43" s="5" t="n">
        <v>3</v>
      </c>
      <c r="F43" s="5" t="n">
        <v>1</v>
      </c>
      <c r="G43" s="5" t="n">
        <v>1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/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/>
      <c r="Y43" s="5" t="n">
        <v>1808</v>
      </c>
      <c r="Z43" s="5" t="n">
        <v>1807</v>
      </c>
      <c r="AA43" s="5" t="n">
        <v>1</v>
      </c>
      <c r="AB43" s="6" t="inlineStr">
        <is>
          <t>+1 influence, +1 Economic. You may destroy a card in your hand or discard pile. +1 influence for each other Economic story you play this turn.</t>
        </is>
      </c>
      <c r="AC43" s="6" t="inlineStr">
        <is>
          <t>Grass grew on the wharves of Salem. New England read it as a southern war on shipping.</t>
        </is>
      </c>
    </row>
    <row r="44">
      <c r="A44" s="5" t="inlineStr">
        <is>
          <t>niles_register</t>
        </is>
      </c>
      <c r="B44" s="6" t="inlineStr">
        <is>
          <t>Niles' Weekly Register</t>
        </is>
      </c>
      <c r="C44" s="5" t="inlineStr">
        <is>
          <t>Media event</t>
        </is>
      </c>
      <c r="D44" s="5" t="n"/>
      <c r="E44" s="5" t="n">
        <v>5</v>
      </c>
      <c r="F44" s="5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/>
      <c r="S44" s="5" t="n">
        <v>0</v>
      </c>
      <c r="T44" s="5" t="n">
        <v>0</v>
      </c>
      <c r="U44" s="5" t="n">
        <v>1</v>
      </c>
      <c r="V44" s="5" t="n">
        <v>0</v>
      </c>
      <c r="W44" s="5" t="n">
        <v>1</v>
      </c>
      <c r="X44" s="5" t="inlineStr">
        <is>
          <t>Political</t>
        </is>
      </c>
      <c r="Y44" s="5" t="n">
        <v>1812</v>
      </c>
      <c r="Z44" s="5" t="n">
        <v>1811</v>
      </c>
      <c r="AA44" s="5" t="n">
        <v>1</v>
      </c>
      <c r="AB44" s="6" t="inlineStr">
        <is>
          <t>Stays in play for the rest of the game. Ongoing: at the start of each of your turns, +1 influence. Every other paper gets +1 Political influence at the start of each of its turns.</t>
        </is>
      </c>
      <c r="AC44" s="6" t="inlineStr">
        <is>
          <t>A Baltimore weekly of documents, prices and speeches, read in every state and quoted by every rival.</t>
        </is>
      </c>
    </row>
    <row r="45">
      <c r="A45" s="5" t="inlineStr">
        <is>
          <t>tippecanoe</t>
        </is>
      </c>
      <c r="B45" s="6" t="inlineStr">
        <is>
          <t>Tippecanoe</t>
        </is>
      </c>
      <c r="C45" s="5" t="inlineStr">
        <is>
          <t>Social story</t>
        </is>
      </c>
      <c r="D45" s="5" t="inlineStr">
        <is>
          <t>Social</t>
        </is>
      </c>
      <c r="E45" s="5" t="n">
        <v>4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2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/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/>
      <c r="Y45" s="5" t="n">
        <v>1812</v>
      </c>
      <c r="Z45" s="5" t="n">
        <v>1811</v>
      </c>
      <c r="AA45" s="5" t="n">
        <v>1</v>
      </c>
      <c r="AB45" s="6" t="inlineStr">
        <is>
          <t>+2 Social, draw 1 card. If you play another Social story this turn, +1 influence.</t>
        </is>
      </c>
      <c r="AC45" s="6" t="inlineStr">
        <is>
          <t>Harrison's battle on the Wabash. It would still be winning him votes thirty years later.</t>
        </is>
      </c>
    </row>
    <row r="46">
      <c r="A46" s="5" t="inlineStr">
        <is>
          <t>war_of_1812</t>
        </is>
      </c>
      <c r="B46" s="6" t="inlineStr">
        <is>
          <t>Mr. Madison's War</t>
        </is>
      </c>
      <c r="C46" s="5" t="inlineStr">
        <is>
          <t>Political story</t>
        </is>
      </c>
      <c r="D46" s="5" t="inlineStr">
        <is>
          <t>Political</t>
        </is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1</v>
      </c>
      <c r="R46" s="5" t="n"/>
      <c r="S46" s="5" t="n">
        <v>0</v>
      </c>
      <c r="T46" s="5" t="n">
        <v>1</v>
      </c>
      <c r="U46" s="5" t="n">
        <v>0</v>
      </c>
      <c r="V46" s="5" t="n">
        <v>0</v>
      </c>
      <c r="W46" s="5" t="n">
        <v>0</v>
      </c>
      <c r="X46" s="5" t="n"/>
      <c r="Y46" s="5" t="n">
        <v>1812</v>
      </c>
      <c r="Z46" s="5" t="n">
        <v>1812</v>
      </c>
      <c r="AA46" s="5" t="n">
        <v>1</v>
      </c>
      <c r="AB46" s="6" t="inlineStr">
        <is>
          <t>+1 influence, +2 Political. +1 Political for each election you have won. Retraction: draw a card, and you may destroy a Scandal in your hand or discard pile.</t>
        </is>
      </c>
      <c r="AC46" s="6" t="inlineStr">
        <is>
          <t>The second war of independence, or a Virginian adventure at New England expense.</t>
        </is>
      </c>
    </row>
    <row r="47">
      <c r="A47" s="5" t="inlineStr">
        <is>
          <t>gerrymander</t>
        </is>
      </c>
      <c r="B47" s="6" t="inlineStr">
        <is>
          <t>The Gerrymander</t>
        </is>
      </c>
      <c r="C47" s="5" t="inlineStr">
        <is>
          <t>Negative story</t>
        </is>
      </c>
      <c r="D47" s="5" t="inlineStr">
        <is>
          <t>Political</t>
        </is>
      </c>
      <c r="E47" s="5" t="n">
        <v>4</v>
      </c>
      <c r="F47" s="5" t="n">
        <v>0</v>
      </c>
      <c r="G47" s="5" t="n">
        <v>1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inlineStr">
        <is>
          <t>scandal</t>
        </is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/>
      <c r="Y47" s="5" t="n">
        <v>1812</v>
      </c>
      <c r="Z47" s="5" t="n">
        <v>1812</v>
      </c>
      <c r="AA47" s="5" t="n">
        <v>1</v>
      </c>
      <c r="AB47" s="6" t="inlineStr">
        <is>
          <t>+1 influence, +1 Political. Attack: each rival paper gains a Scandal; +1 influence if it hits any of them. Worth no prestige.</t>
        </is>
      </c>
      <c r="AC47" s="6" t="inlineStr">
        <is>
          <t>A Massachusetts district drawn in the shape of a salamander, signed into law by Governor Gerry.</t>
        </is>
      </c>
    </row>
    <row r="48">
      <c r="A48" s="5" t="inlineStr">
        <is>
          <t>hartford_convention</t>
        </is>
      </c>
      <c r="B48" s="6" t="inlineStr">
        <is>
          <t>The Hartford Convention</t>
        </is>
      </c>
      <c r="C48" s="5" t="inlineStr">
        <is>
          <t>Negative story</t>
        </is>
      </c>
      <c r="D48" s="5" t="inlineStr">
        <is>
          <t>Social</t>
        </is>
      </c>
      <c r="E48" s="5" t="n">
        <v>2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inlineStr">
        <is>
          <t>discard</t>
        </is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/>
      <c r="Y48" s="5" t="n">
        <v>1816</v>
      </c>
      <c r="Z48" s="5" t="n">
        <v>1814</v>
      </c>
      <c r="AA48" s="5" t="n">
        <v>1</v>
      </c>
      <c r="AB48" s="6" t="inlineStr">
        <is>
          <t>+1 influence. Attack: each rival paper discards a card at random; +1 influence if it hits any of them. Worth no prestige.</t>
        </is>
      </c>
      <c r="AC48" s="6" t="inlineStr">
        <is>
          <t>New England Federalists met in secret to discuss leaving, and destroyed their own party.</t>
        </is>
      </c>
    </row>
    <row r="49">
      <c r="A49" s="5" t="inlineStr">
        <is>
          <t>treaty_of_ghent</t>
        </is>
      </c>
      <c r="B49" s="6" t="inlineStr">
        <is>
          <t>The Treaty of Ghent</t>
        </is>
      </c>
      <c r="C49" s="5" t="inlineStr">
        <is>
          <t>Political story</t>
        </is>
      </c>
      <c r="D49" s="5" t="inlineStr">
        <is>
          <t>Political</t>
        </is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/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/>
      <c r="Y49" s="5" t="n">
        <v>1816</v>
      </c>
      <c r="Z49" s="5" t="n">
        <v>1814</v>
      </c>
      <c r="AA49" s="5" t="n">
        <v>1</v>
      </c>
      <c r="AB49" s="6" t="inlineStr">
        <is>
          <t>+2 influence, +2 Political, +2 Campaign (elections only). Retraction: draw a card, and you may destroy a Scandal in your hand or discard pile.</t>
        </is>
      </c>
      <c r="AC49" s="6" t="inlineStr">
        <is>
          <t>Status quo ante bellum. Everyone claimed to have won.</t>
        </is>
      </c>
    </row>
    <row r="50">
      <c r="A50" s="5" t="inlineStr">
        <is>
          <t>second_bank</t>
        </is>
      </c>
      <c r="B50" s="6" t="inlineStr">
        <is>
          <t>The Second Bank of the United States</t>
        </is>
      </c>
      <c r="C50" s="5" t="inlineStr">
        <is>
          <t>Economic story</t>
        </is>
      </c>
      <c r="D50" s="5" t="inlineStr">
        <is>
          <t>Economic</t>
        </is>
      </c>
      <c r="E50" s="5" t="n">
        <v>5</v>
      </c>
      <c r="F50" s="5" t="n">
        <v>1</v>
      </c>
      <c r="G50" s="5" t="n">
        <v>2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/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/>
      <c r="Y50" s="5" t="n">
        <v>1816</v>
      </c>
      <c r="Z50" s="5" t="n">
        <v>1816</v>
      </c>
      <c r="AA50" s="5" t="n">
        <v>1</v>
      </c>
      <c r="AB50" s="6" t="inlineStr">
        <is>
          <t>+2 influence, +1 Economic. You may destroy a card in your hand or discard pile. +1 influence for each other Economic story you play this turn.</t>
        </is>
      </c>
      <c r="AC50" s="6" t="inlineStr">
        <is>
          <t>A national currency, and a monster, depending on which paper you took.</t>
        </is>
      </c>
    </row>
    <row r="51">
      <c r="A51" s="5" t="inlineStr">
        <is>
          <t>tariff_of_1816</t>
        </is>
      </c>
      <c r="B51" s="6" t="inlineStr">
        <is>
          <t>The Tariff of 1816</t>
        </is>
      </c>
      <c r="C51" s="5" t="inlineStr">
        <is>
          <t>Economic story</t>
        </is>
      </c>
      <c r="D51" s="5" t="inlineStr">
        <is>
          <t>Economic</t>
        </is>
      </c>
      <c r="E51" s="5" t="n">
        <v>4</v>
      </c>
      <c r="F51" s="5" t="n">
        <v>1</v>
      </c>
      <c r="G51" s="5" t="n">
        <v>2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1</v>
      </c>
      <c r="Q51" s="5" t="n">
        <v>0</v>
      </c>
      <c r="R51" s="5" t="n"/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/>
      <c r="Y51" s="5" t="n">
        <v>1816</v>
      </c>
      <c r="Z51" s="5" t="n">
        <v>1816</v>
      </c>
      <c r="AA51" s="5" t="n">
        <v>1</v>
      </c>
      <c r="AB51" s="6" t="inlineStr">
        <is>
          <t>+2 influence, +1 Economic. +1 influence for each other Economic story you play this turn.</t>
        </is>
      </c>
      <c r="AC51" s="6" t="inlineStr">
        <is>
          <t>The first protective tariff, passed by southerners who had learned what a blockade does.</t>
        </is>
      </c>
    </row>
    <row r="52">
      <c r="A52" s="5" t="inlineStr">
        <is>
          <t>cumberland_road</t>
        </is>
      </c>
      <c r="B52" s="6" t="inlineStr">
        <is>
          <t>The Cumberland Road</t>
        </is>
      </c>
      <c r="C52" s="5" t="inlineStr">
        <is>
          <t>Economic story</t>
        </is>
      </c>
      <c r="D52" s="5" t="inlineStr">
        <is>
          <t>Economic</t>
        </is>
      </c>
      <c r="E52" s="5" t="n">
        <v>5</v>
      </c>
      <c r="F52" s="5" t="n">
        <v>1</v>
      </c>
      <c r="G52" s="5" t="n">
        <v>2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/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/>
      <c r="Y52" s="5" t="n">
        <v>1820</v>
      </c>
      <c r="Z52" s="5" t="n">
        <v>1818</v>
      </c>
      <c r="AA52" s="5" t="n">
        <v>1</v>
      </c>
      <c r="AB52" s="6" t="inlineStr">
        <is>
          <t>+2 influence, +1 Economic. You may destroy a card in your hand or discard pile. +1 influence for each other Economic story you play this turn.</t>
        </is>
      </c>
      <c r="AC52" s="6" t="inlineStr">
        <is>
          <t>A federal highway reaches the Ohio at Wheeling. Who pays to mend it is another question.</t>
        </is>
      </c>
    </row>
    <row r="53">
      <c r="A53" s="5" t="inlineStr">
        <is>
          <t>mcculloch</t>
        </is>
      </c>
      <c r="B53" s="6" t="inlineStr">
        <is>
          <t>McCulloch v. Maryland</t>
        </is>
      </c>
      <c r="C53" s="5" t="inlineStr">
        <is>
          <t>Economic story</t>
        </is>
      </c>
      <c r="D53" s="5" t="inlineStr">
        <is>
          <t>Economic</t>
        </is>
      </c>
      <c r="E53" s="5" t="n">
        <v>3</v>
      </c>
      <c r="F53" s="5" t="n">
        <v>1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/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/>
      <c r="Y53" s="5" t="n">
        <v>1820</v>
      </c>
      <c r="Z53" s="5" t="n">
        <v>1819</v>
      </c>
      <c r="AA53" s="5" t="n">
        <v>1</v>
      </c>
      <c r="AB53" s="6" t="inlineStr">
        <is>
          <t>+1 influence, +1 Economic. You may destroy a card in your hand or discard pile. +1 influence for each other Economic story you play this turn.</t>
        </is>
      </c>
      <c r="AC53" s="6" t="inlineStr">
        <is>
          <t>Maryland taxed the national bank; Marshall ruled the power to tax is the power to destroy.</t>
        </is>
      </c>
    </row>
    <row r="54">
      <c r="A54" s="5" t="inlineStr">
        <is>
          <t>adams_onis</t>
        </is>
      </c>
      <c r="B54" s="6" t="inlineStr">
        <is>
          <t>The Adams-Onis Treaty</t>
        </is>
      </c>
      <c r="C54" s="5" t="inlineStr">
        <is>
          <t>Political story</t>
        </is>
      </c>
      <c r="D54" s="5" t="inlineStr">
        <is>
          <t>Political</t>
        </is>
      </c>
      <c r="E54" s="5" t="n">
        <v>5</v>
      </c>
      <c r="F54" s="5" t="n">
        <v>1</v>
      </c>
      <c r="G54" s="5" t="n">
        <v>2</v>
      </c>
      <c r="H54" s="5" t="n">
        <v>2</v>
      </c>
      <c r="I54" s="5" t="n">
        <v>0</v>
      </c>
      <c r="J54" s="5" t="n">
        <v>0</v>
      </c>
      <c r="K54" s="5" t="n">
        <v>2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/>
      <c r="S54" s="5" t="n">
        <v>0</v>
      </c>
      <c r="T54" s="5" t="n">
        <v>1</v>
      </c>
      <c r="U54" s="5" t="n">
        <v>0</v>
      </c>
      <c r="V54" s="5" t="n">
        <v>0</v>
      </c>
      <c r="W54" s="5" t="n">
        <v>0</v>
      </c>
      <c r="X54" s="5" t="n"/>
      <c r="Y54" s="5" t="n">
        <v>1820</v>
      </c>
      <c r="Z54" s="5" t="n">
        <v>1819</v>
      </c>
      <c r="AA54" s="5" t="n">
        <v>1</v>
      </c>
      <c r="AB54" s="6" t="inlineStr">
        <is>
          <t>+2 influence, +2 Political, +2 Campaign (elections only). Retraction: draw a card, and you may destroy a Scandal in your hand or discard pile.</t>
        </is>
      </c>
      <c r="AC54" s="6" t="inlineStr">
        <is>
          <t>Spain gives up Florida, and a line is drawn to the Pacific on paper.</t>
        </is>
      </c>
    </row>
    <row r="55">
      <c r="A55" s="5" t="inlineStr">
        <is>
          <t>panic_of_1819</t>
        </is>
      </c>
      <c r="B55" s="6" t="inlineStr">
        <is>
          <t>The Panic of 1819</t>
        </is>
      </c>
      <c r="C55" s="5" t="inlineStr">
        <is>
          <t>Negative story</t>
        </is>
      </c>
      <c r="D55" s="5" t="inlineStr">
        <is>
          <t>Economic</t>
        </is>
      </c>
      <c r="E55" s="5" t="n">
        <v>5</v>
      </c>
      <c r="F55" s="5" t="n">
        <v>0</v>
      </c>
      <c r="G55" s="5" t="n">
        <v>2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inlineStr">
        <is>
          <t>scandal</t>
        </is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/>
      <c r="Y55" s="5" t="n">
        <v>1820</v>
      </c>
      <c r="Z55" s="5" t="n">
        <v>1819</v>
      </c>
      <c r="AA55" s="5" t="n">
        <v>1</v>
      </c>
      <c r="AB55" s="6" t="inlineStr">
        <is>
          <t>+2 influence, +1 Economic. Attack: each rival paper gains a Scandal; +1 influence if it hits any of them. Worth no prestige.</t>
        </is>
      </c>
      <c r="AC55" s="6" t="inlineStr">
        <is>
          <t>The Bank called in its loans and the west discovered what credit was.</t>
        </is>
      </c>
    </row>
    <row r="56">
      <c r="A56" s="5" t="inlineStr">
        <is>
          <t>missouri_compromise</t>
        </is>
      </c>
      <c r="B56" s="6" t="inlineStr">
        <is>
          <t>The Missouri Compromise</t>
        </is>
      </c>
      <c r="C56" s="5" t="inlineStr">
        <is>
          <t>Social story</t>
        </is>
      </c>
      <c r="D56" s="5" t="inlineStr">
        <is>
          <t>Social</t>
        </is>
      </c>
      <c r="E56" s="5" t="n">
        <v>4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2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/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/>
      <c r="Y56" s="5" t="n">
        <v>1820</v>
      </c>
      <c r="Z56" s="5" t="n">
        <v>1820</v>
      </c>
      <c r="AA56" s="5" t="n">
        <v>1</v>
      </c>
      <c r="AB56" s="6" t="inlineStr">
        <is>
          <t>+2 Social, draw 1 card. If you play another Social story this turn, +1 influence.</t>
        </is>
      </c>
      <c r="AC56" s="6" t="inlineStr">
        <is>
          <t>A fire bell in the night, muffled for thirty years by a line at 36 degrees 30 minutes.</t>
        </is>
      </c>
    </row>
    <row r="57">
      <c r="A57" s="5" t="inlineStr">
        <is>
          <t>denmark_vesey</t>
        </is>
      </c>
      <c r="B57" s="6" t="inlineStr">
        <is>
          <t>Denmark Vesey</t>
        </is>
      </c>
      <c r="C57" s="5" t="inlineStr">
        <is>
          <t>Negative story</t>
        </is>
      </c>
      <c r="D57" s="5" t="inlineStr">
        <is>
          <t>Social</t>
        </is>
      </c>
      <c r="E57" s="5" t="n">
        <v>2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inlineStr">
        <is>
          <t>discard</t>
        </is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/>
      <c r="Y57" s="5" t="n">
        <v>1824</v>
      </c>
      <c r="Z57" s="5" t="n">
        <v>1822</v>
      </c>
      <c r="AA57" s="5" t="n">
        <v>1</v>
      </c>
      <c r="AB57" s="6" t="inlineStr">
        <is>
          <t>+1 influence. Attack: each rival paper discards a card at random; +1 influence if it hits any of them. Worth no prestige.</t>
        </is>
      </c>
      <c r="AC57" s="6" t="inlineStr">
        <is>
          <t>Charleston hangs thirty-five men for a rising that never happened, and tightens every law it has.</t>
        </is>
      </c>
    </row>
    <row r="58">
      <c r="A58" s="5" t="inlineStr">
        <is>
          <t>crawford_radicals</t>
        </is>
      </c>
      <c r="B58" s="6" t="inlineStr">
        <is>
          <t>The Crawford Radicals</t>
        </is>
      </c>
      <c r="C58" s="5" t="inlineStr">
        <is>
          <t>Negative story</t>
        </is>
      </c>
      <c r="D58" s="5" t="inlineStr">
        <is>
          <t>Political</t>
        </is>
      </c>
      <c r="E58" s="5" t="n">
        <v>3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inlineStr">
        <is>
          <t>discard</t>
        </is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/>
      <c r="Y58" s="5" t="n">
        <v>1824</v>
      </c>
      <c r="Z58" s="5" t="n">
        <v>1823</v>
      </c>
      <c r="AA58" s="5" t="n">
        <v>1</v>
      </c>
      <c r="AB58" s="6" t="inlineStr">
        <is>
          <t>+1 influence, +1 Political. Attack: each rival paper discards a card at random; +1 influence if it hits any of them. Worth no prestige.</t>
        </is>
      </c>
      <c r="AC58" s="6" t="inlineStr">
        <is>
          <t>The Old Republicans rallied behind Crawford and the caucus. A stroke left their man half-blind before the canvass began.</t>
        </is>
      </c>
    </row>
    <row r="59">
      <c r="A59" s="5" t="inlineStr">
        <is>
          <t>monroe_doctrine</t>
        </is>
      </c>
      <c r="B59" s="6" t="inlineStr">
        <is>
          <t>The Monroe Doctrine</t>
        </is>
      </c>
      <c r="C59" s="5" t="inlineStr">
        <is>
          <t>Political story</t>
        </is>
      </c>
      <c r="D59" s="5" t="inlineStr">
        <is>
          <t>Political</t>
        </is>
      </c>
      <c r="E59" s="5" t="n">
        <v>4</v>
      </c>
      <c r="F59" s="5" t="n">
        <v>1</v>
      </c>
      <c r="G59" s="5" t="n">
        <v>1</v>
      </c>
      <c r="H59" s="5" t="n">
        <v>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1</v>
      </c>
      <c r="R59" s="5" t="n"/>
      <c r="S59" s="5" t="n">
        <v>0</v>
      </c>
      <c r="T59" s="5" t="n">
        <v>1</v>
      </c>
      <c r="U59" s="5" t="n">
        <v>0</v>
      </c>
      <c r="V59" s="5" t="n">
        <v>0</v>
      </c>
      <c r="W59" s="5" t="n">
        <v>0</v>
      </c>
      <c r="X59" s="5" t="n"/>
      <c r="Y59" s="5" t="n">
        <v>1824</v>
      </c>
      <c r="Z59" s="5" t="n">
        <v>1823</v>
      </c>
      <c r="AA59" s="5" t="n">
        <v>1</v>
      </c>
      <c r="AB59" s="6" t="inlineStr">
        <is>
          <t>+1 influence, +2 Political. +1 Political for each election you have won. Retraction: draw a card, and you may destroy a Scandal in your hand or discard pile.</t>
        </is>
      </c>
      <c r="AC59" s="6" t="inlineStr">
        <is>
          <t>A hemisphere closed to European colonisation, announced by a nation that could not enforce it.</t>
        </is>
      </c>
    </row>
    <row r="60">
      <c r="A60" s="5" t="inlineStr">
        <is>
          <t>american_system</t>
        </is>
      </c>
      <c r="B60" s="6" t="inlineStr">
        <is>
          <t>The American System</t>
        </is>
      </c>
      <c r="C60" s="5" t="inlineStr">
        <is>
          <t>Economic story</t>
        </is>
      </c>
      <c r="D60" s="5" t="inlineStr">
        <is>
          <t>Economic</t>
        </is>
      </c>
      <c r="E60" s="5" t="n">
        <v>5</v>
      </c>
      <c r="F60" s="5" t="n">
        <v>1</v>
      </c>
      <c r="G60" s="5" t="n">
        <v>2</v>
      </c>
      <c r="H60" s="5" t="n">
        <v>0</v>
      </c>
      <c r="I60" s="5" t="n">
        <v>1</v>
      </c>
      <c r="J60" s="5" t="n">
        <v>0</v>
      </c>
      <c r="K60" s="5" t="n">
        <v>0</v>
      </c>
      <c r="L60" s="5" t="n">
        <v>0</v>
      </c>
      <c r="M60" s="5" t="n">
        <v>1</v>
      </c>
      <c r="N60" s="5" t="n">
        <v>0</v>
      </c>
      <c r="O60" s="5" t="n">
        <v>0</v>
      </c>
      <c r="P60" s="5" t="n">
        <v>1</v>
      </c>
      <c r="Q60" s="5" t="n">
        <v>0</v>
      </c>
      <c r="R60" s="5" t="n"/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/>
      <c r="Y60" s="5" t="n">
        <v>1824</v>
      </c>
      <c r="Z60" s="5" t="n">
        <v>1824</v>
      </c>
      <c r="AA60" s="5" t="n">
        <v>1</v>
      </c>
      <c r="AB60" s="6" t="inlineStr">
        <is>
          <t>+2 influence, +1 Economic. You may destroy a card in your hand or discard pile. +1 influence for each other Economic story you play this turn.</t>
        </is>
      </c>
      <c r="AC60" s="6" t="inlineStr">
        <is>
          <t>Clay wanted tariffs, a bank and roads, and to be remembered for all three.</t>
        </is>
      </c>
    </row>
    <row r="61">
      <c r="A61" s="5" t="inlineStr">
        <is>
          <t>erie_canal</t>
        </is>
      </c>
      <c r="B61" s="6" t="inlineStr">
        <is>
          <t>The Erie Canal</t>
        </is>
      </c>
      <c r="C61" s="5" t="inlineStr">
        <is>
          <t>Economic story</t>
        </is>
      </c>
      <c r="D61" s="5" t="inlineStr">
        <is>
          <t>Economic</t>
        </is>
      </c>
      <c r="E61" s="5" t="n">
        <v>6</v>
      </c>
      <c r="F61" s="5" t="n">
        <v>2</v>
      </c>
      <c r="G61" s="5" t="n">
        <v>2</v>
      </c>
      <c r="H61" s="5" t="n">
        <v>0</v>
      </c>
      <c r="I61" s="5" t="n">
        <v>2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4</v>
      </c>
      <c r="O61" s="5" t="n">
        <v>0</v>
      </c>
      <c r="P61" s="5" t="n">
        <v>1</v>
      </c>
      <c r="Q61" s="5" t="n">
        <v>0</v>
      </c>
      <c r="R61" s="5" t="n"/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/>
      <c r="Y61" s="5" t="n">
        <v>1828</v>
      </c>
      <c r="Z61" s="5" t="n">
        <v>1825</v>
      </c>
      <c r="AA61" s="5" t="n">
        <v>1</v>
      </c>
      <c r="AB61" s="6" t="inlineStr">
        <is>
          <t>+2 influence, +2 Economic. Gain a story costing 4 or less from the exchange. +1 influence for each other Economic story you play this turn.</t>
        </is>
      </c>
      <c r="AC61" s="6" t="inlineStr">
        <is>
          <t>Three hundred and sixty-three miles, and the price of flour in New York fell by half.</t>
        </is>
      </c>
    </row>
    <row r="62">
      <c r="A62" s="5" t="inlineStr">
        <is>
          <t>lowell_mills</t>
        </is>
      </c>
      <c r="B62" s="6" t="inlineStr">
        <is>
          <t>The Lowell Mills</t>
        </is>
      </c>
      <c r="C62" s="5" t="inlineStr">
        <is>
          <t>Social story</t>
        </is>
      </c>
      <c r="D62" s="5" t="inlineStr">
        <is>
          <t>Social</t>
        </is>
      </c>
      <c r="E62" s="5" t="n">
        <v>6</v>
      </c>
      <c r="F62" s="5" t="n">
        <v>2</v>
      </c>
      <c r="G62" s="5" t="n">
        <v>0</v>
      </c>
      <c r="H62" s="5" t="n">
        <v>0</v>
      </c>
      <c r="I62" s="5" t="n">
        <v>0</v>
      </c>
      <c r="J62" s="5" t="n">
        <v>2</v>
      </c>
      <c r="K62" s="5" t="n">
        <v>0</v>
      </c>
      <c r="L62" s="5" t="n">
        <v>1</v>
      </c>
      <c r="M62" s="5" t="n">
        <v>0</v>
      </c>
      <c r="N62" s="5" t="n">
        <v>0</v>
      </c>
      <c r="O62" s="5" t="n">
        <v>2</v>
      </c>
      <c r="P62" s="5" t="n">
        <v>0</v>
      </c>
      <c r="Q62" s="5" t="n">
        <v>0</v>
      </c>
      <c r="R62" s="5" t="n"/>
      <c r="S62" s="5" t="n">
        <v>1</v>
      </c>
      <c r="T62" s="5" t="n">
        <v>0</v>
      </c>
      <c r="U62" s="5" t="n">
        <v>0</v>
      </c>
      <c r="V62" s="5" t="n">
        <v>0</v>
      </c>
      <c r="W62" s="5" t="n">
        <v>0</v>
      </c>
      <c r="X62" s="5" t="n"/>
      <c r="Y62" s="5" t="n">
        <v>1828</v>
      </c>
      <c r="Z62" s="5" t="n">
        <v>1826</v>
      </c>
      <c r="AA62" s="5" t="n">
        <v>1</v>
      </c>
      <c r="AB62" s="6" t="inlineStr">
        <is>
          <t>+2 Social, draw 1 card. If you play another Social story this turn, +2 influence. Defense: discard this from your hand to ignore a negative story, and draw a card.</t>
        </is>
      </c>
      <c r="AC62" s="6" t="inlineStr">
        <is>
          <t>Textile capital with a moral architecture attached, and a constituency for protection.</t>
        </is>
      </c>
    </row>
    <row r="63">
      <c r="A63" s="5" t="inlineStr">
        <is>
          <t>freedoms_journal</t>
        </is>
      </c>
      <c r="B63" s="6" t="inlineStr">
        <is>
          <t>Freedom's Journal</t>
        </is>
      </c>
      <c r="C63" s="5" t="inlineStr">
        <is>
          <t>Social story</t>
        </is>
      </c>
      <c r="D63" s="5" t="inlineStr">
        <is>
          <t>Social</t>
        </is>
      </c>
      <c r="E63" s="5" t="n">
        <v>3</v>
      </c>
      <c r="F63" s="5" t="n">
        <v>1</v>
      </c>
      <c r="G63" s="5" t="n">
        <v>0</v>
      </c>
      <c r="H63" s="5" t="n">
        <v>0</v>
      </c>
      <c r="I63" s="5" t="n">
        <v>0</v>
      </c>
      <c r="J63" s="5" t="n">
        <v>1</v>
      </c>
      <c r="K63" s="5" t="n">
        <v>0</v>
      </c>
      <c r="L63" s="5" t="n">
        <v>1</v>
      </c>
      <c r="M63" s="5" t="n">
        <v>0</v>
      </c>
      <c r="N63" s="5" t="n">
        <v>0</v>
      </c>
      <c r="O63" s="5" t="n">
        <v>1</v>
      </c>
      <c r="P63" s="5" t="n">
        <v>0</v>
      </c>
      <c r="Q63" s="5" t="n">
        <v>0</v>
      </c>
      <c r="R63" s="5" t="n"/>
      <c r="S63" s="5" t="n">
        <v>1</v>
      </c>
      <c r="T63" s="5" t="n">
        <v>0</v>
      </c>
      <c r="U63" s="5" t="n">
        <v>0</v>
      </c>
      <c r="V63" s="5" t="n">
        <v>0</v>
      </c>
      <c r="W63" s="5" t="n">
        <v>0</v>
      </c>
      <c r="X63" s="5" t="n"/>
      <c r="Y63" s="5" t="n">
        <v>1828</v>
      </c>
      <c r="Z63" s="5" t="n">
        <v>1827</v>
      </c>
      <c r="AA63" s="5" t="n">
        <v>1</v>
      </c>
      <c r="AB63" s="6" t="inlineStr">
        <is>
          <t>+1 Social, draw 1 card. If you play another Social story this turn, +1 influence. Defense: discard this from your hand to ignore a negative story, and draw a card.</t>
        </is>
      </c>
      <c r="AC63" s="6" t="inlineStr">
        <is>
          <t>The first newspaper owned and edited by Black Americans: "We wish to plead our own cause."</t>
        </is>
      </c>
    </row>
    <row r="64">
      <c r="A64" s="5" t="inlineStr">
        <is>
          <t>anti_masonic_party</t>
        </is>
      </c>
      <c r="B64" s="6" t="inlineStr">
        <is>
          <t>The Anti-Masonic Party</t>
        </is>
      </c>
      <c r="C64" s="5" t="inlineStr">
        <is>
          <t>Negative story</t>
        </is>
      </c>
      <c r="D64" s="5" t="inlineStr">
        <is>
          <t>Political</t>
        </is>
      </c>
      <c r="E64" s="5" t="n">
        <v>3</v>
      </c>
      <c r="F64" s="5" t="n">
        <v>0</v>
      </c>
      <c r="G64" s="5" t="n">
        <v>1</v>
      </c>
      <c r="H64" s="5" t="n">
        <v>1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inlineStr">
        <is>
          <t>discard</t>
        </is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/>
      <c r="Y64" s="5" t="n">
        <v>1828</v>
      </c>
      <c r="Z64" s="5" t="n">
        <v>1828</v>
      </c>
      <c r="AA64" s="5" t="n">
        <v>1</v>
      </c>
      <c r="AB64" s="6" t="inlineStr">
        <is>
          <t>+1 influence, +1 Political. Attack: each rival paper discards a card at random; +1 influence if it hits any of them. Worth no prestige.</t>
        </is>
      </c>
      <c r="AC64" s="6" t="inlineStr">
        <is>
          <t>A stonemason vanishes in western New York, and a crusade against secret societies becomes a party.</t>
        </is>
      </c>
    </row>
    <row r="65">
      <c r="A65" s="5" t="inlineStr">
        <is>
          <t>cherokee_phoenix</t>
        </is>
      </c>
      <c r="B65" s="6" t="inlineStr">
        <is>
          <t>The Cherokee Phoenix</t>
        </is>
      </c>
      <c r="C65" s="5" t="inlineStr">
        <is>
          <t>Social story</t>
        </is>
      </c>
      <c r="D65" s="5" t="inlineStr">
        <is>
          <t>Social</t>
        </is>
      </c>
      <c r="E65" s="5" t="n">
        <v>3</v>
      </c>
      <c r="F65" s="5" t="n">
        <v>1</v>
      </c>
      <c r="G65" s="5" t="n">
        <v>0</v>
      </c>
      <c r="H65" s="5" t="n">
        <v>0</v>
      </c>
      <c r="I65" s="5" t="n">
        <v>0</v>
      </c>
      <c r="J65" s="5" t="n">
        <v>1</v>
      </c>
      <c r="K65" s="5" t="n">
        <v>0</v>
      </c>
      <c r="L65" s="5" t="n">
        <v>1</v>
      </c>
      <c r="M65" s="5" t="n">
        <v>0</v>
      </c>
      <c r="N65" s="5" t="n">
        <v>0</v>
      </c>
      <c r="O65" s="5" t="n">
        <v>1</v>
      </c>
      <c r="P65" s="5" t="n">
        <v>0</v>
      </c>
      <c r="Q65" s="5" t="n">
        <v>0</v>
      </c>
      <c r="R65" s="5" t="n"/>
      <c r="S65" s="5" t="n">
        <v>1</v>
      </c>
      <c r="T65" s="5" t="n">
        <v>0</v>
      </c>
      <c r="U65" s="5" t="n">
        <v>0</v>
      </c>
      <c r="V65" s="5" t="n">
        <v>0</v>
      </c>
      <c r="W65" s="5" t="n">
        <v>0</v>
      </c>
      <c r="X65" s="5" t="n"/>
      <c r="Y65" s="5" t="n">
        <v>1828</v>
      </c>
      <c r="Z65" s="5" t="n">
        <v>1828</v>
      </c>
      <c r="AA65" s="5" t="n">
        <v>1</v>
      </c>
      <c r="AB65" s="6" t="inlineStr">
        <is>
          <t>+1 Social, draw 1 card. If you play another Social story this turn, +1 influence. Defense: discard this from your hand to ignore a negative story, and draw a card.</t>
        </is>
      </c>
      <c r="AC65" s="6" t="inlineStr">
        <is>
          <t>Printed at New Echota in English and Sequoyah's syllabary, while Georgia eyes the land beneath it.</t>
        </is>
      </c>
    </row>
    <row r="66">
      <c r="A66" s="5" t="inlineStr">
        <is>
          <t>sc_exposition</t>
        </is>
      </c>
      <c r="B66" s="6" t="inlineStr">
        <is>
          <t>The South Carolina Exposition</t>
        </is>
      </c>
      <c r="C66" s="5" t="inlineStr">
        <is>
          <t>Political story</t>
        </is>
      </c>
      <c r="D66" s="5" t="inlineStr">
        <is>
          <t>Political</t>
        </is>
      </c>
      <c r="E66" s="5" t="n">
        <v>2</v>
      </c>
      <c r="F66" s="5" t="n">
        <v>1</v>
      </c>
      <c r="G66" s="5" t="n">
        <v>1</v>
      </c>
      <c r="H66" s="5" t="n">
        <v>2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/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/>
      <c r="Y66" s="5" t="n">
        <v>1828</v>
      </c>
      <c r="Z66" s="5" t="n">
        <v>1828</v>
      </c>
      <c r="AA66" s="5" t="n">
        <v>1</v>
      </c>
      <c r="AB66" s="6" t="inlineStr">
        <is>
          <t>+1 influence, +2 Political.</t>
        </is>
      </c>
      <c r="AC66" s="6" t="inlineStr">
        <is>
          <t>Calhoun, anonymously and while Vice President, on the right of a state to say no.</t>
        </is>
      </c>
    </row>
    <row r="67">
      <c r="A67" s="5" t="inlineStr">
        <is>
          <t>tariff_abominations</t>
        </is>
      </c>
      <c r="B67" s="6" t="inlineStr">
        <is>
          <t>The Tariff of Abominations</t>
        </is>
      </c>
      <c r="C67" s="5" t="inlineStr">
        <is>
          <t>Economic story</t>
        </is>
      </c>
      <c r="D67" s="5" t="inlineStr">
        <is>
          <t>Economic</t>
        </is>
      </c>
      <c r="E67" s="5" t="n">
        <v>3</v>
      </c>
      <c r="F67" s="5" t="n">
        <v>1</v>
      </c>
      <c r="G67" s="5" t="n">
        <v>1</v>
      </c>
      <c r="H67" s="5" t="n">
        <v>0</v>
      </c>
      <c r="I67" s="5" t="n">
        <v>1</v>
      </c>
      <c r="J67" s="5" t="n">
        <v>0</v>
      </c>
      <c r="K67" s="5" t="n">
        <v>0</v>
      </c>
      <c r="L67" s="5" t="n">
        <v>0</v>
      </c>
      <c r="M67" s="5" t="n">
        <v>1</v>
      </c>
      <c r="N67" s="5" t="n">
        <v>0</v>
      </c>
      <c r="O67" s="5" t="n">
        <v>0</v>
      </c>
      <c r="P67" s="5" t="n">
        <v>1</v>
      </c>
      <c r="Q67" s="5" t="n">
        <v>0</v>
      </c>
      <c r="R67" s="5" t="n"/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/>
      <c r="Y67" s="5" t="n">
        <v>1828</v>
      </c>
      <c r="Z67" s="5" t="n">
        <v>1828</v>
      </c>
      <c r="AA67" s="5" t="n">
        <v>1</v>
      </c>
      <c r="AB67" s="6" t="inlineStr">
        <is>
          <t>+1 influence, +1 Economic. You may destroy a card in your hand or discard pile. +1 influence for each other Economic story you play this turn.</t>
        </is>
      </c>
      <c r="AC67" s="6" t="inlineStr">
        <is>
          <t>Written to be so bad it would fail, and passed anyway.</t>
        </is>
      </c>
    </row>
    <row r="68">
      <c r="A68" s="5" t="inlineStr">
        <is>
          <t>cotton_boom</t>
        </is>
      </c>
      <c r="B68" s="6" t="inlineStr">
        <is>
          <t>The Cotton Boom</t>
        </is>
      </c>
      <c r="C68" s="5" t="inlineStr">
        <is>
          <t>Economic story</t>
        </is>
      </c>
      <c r="D68" s="5" t="inlineStr">
        <is>
          <t>Economic</t>
        </is>
      </c>
      <c r="E68" s="5" t="n">
        <v>8</v>
      </c>
      <c r="F68" s="5" t="n">
        <v>3</v>
      </c>
      <c r="G68" s="5" t="n">
        <v>4</v>
      </c>
      <c r="H68" s="5" t="n">
        <v>0</v>
      </c>
      <c r="I68" s="5" t="n">
        <v>2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5</v>
      </c>
      <c r="O68" s="5" t="n">
        <v>0</v>
      </c>
      <c r="P68" s="5" t="n">
        <v>1</v>
      </c>
      <c r="Q68" s="5" t="n">
        <v>0</v>
      </c>
      <c r="R68" s="5" t="n"/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/>
      <c r="Y68" s="5" t="n">
        <v>1832</v>
      </c>
      <c r="Z68" s="5" t="n">
        <v>1830</v>
      </c>
      <c r="AA68" s="5" t="n">
        <v>1</v>
      </c>
      <c r="AB68" s="6" t="inlineStr">
        <is>
          <t>+4 influence, +2 Economic. Gain a story costing 5 or less from the exchange. +1 influence for each other Economic story you play this turn.</t>
        </is>
      </c>
      <c r="AC68" s="6" t="inlineStr">
        <is>
          <t>Two thirds of American exports, sold to Liverpool. Independence was never that simple.</t>
        </is>
      </c>
    </row>
    <row r="69">
      <c r="A69" s="5" t="inlineStr">
        <is>
          <t>indian_removal</t>
        </is>
      </c>
      <c r="B69" s="6" t="inlineStr">
        <is>
          <t>The Indian Removal Act</t>
        </is>
      </c>
      <c r="C69" s="5" t="inlineStr">
        <is>
          <t>Political story</t>
        </is>
      </c>
      <c r="D69" s="5" t="inlineStr">
        <is>
          <t>Political</t>
        </is>
      </c>
      <c r="E69" s="5" t="n">
        <v>4</v>
      </c>
      <c r="F69" s="5" t="n">
        <v>1</v>
      </c>
      <c r="G69" s="5" t="n">
        <v>1</v>
      </c>
      <c r="H69" s="5" t="n">
        <v>2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1</v>
      </c>
      <c r="R69" s="5" t="n"/>
      <c r="S69" s="5" t="n">
        <v>0</v>
      </c>
      <c r="T69" s="5" t="n">
        <v>1</v>
      </c>
      <c r="U69" s="5" t="n">
        <v>0</v>
      </c>
      <c r="V69" s="5" t="n">
        <v>0</v>
      </c>
      <c r="W69" s="5" t="n">
        <v>0</v>
      </c>
      <c r="X69" s="5" t="n"/>
      <c r="Y69" s="5" t="n">
        <v>1832</v>
      </c>
      <c r="Z69" s="5" t="n">
        <v>1830</v>
      </c>
      <c r="AA69" s="5" t="n">
        <v>1</v>
      </c>
      <c r="AB69" s="6" t="inlineStr">
        <is>
          <t>+1 influence, +2 Political. +1 Political for each election you have won. Retraction: draw a card, and you may destroy a Scandal in your hand or discard pile.</t>
        </is>
      </c>
      <c r="AC69" s="6" t="inlineStr">
        <is>
          <t>Congress votes the money to move the southern nations west, and calls it voluntary.</t>
        </is>
      </c>
    </row>
    <row r="70">
      <c r="A70" s="5" t="inlineStr">
        <is>
          <t>webster_hayne</t>
        </is>
      </c>
      <c r="B70" s="6" t="inlineStr">
        <is>
          <t>The Webster-Hayne Debate</t>
        </is>
      </c>
      <c r="C70" s="5" t="inlineStr">
        <is>
          <t>Political story</t>
        </is>
      </c>
      <c r="D70" s="5" t="inlineStr">
        <is>
          <t>Political</t>
        </is>
      </c>
      <c r="E70" s="5" t="n">
        <v>5</v>
      </c>
      <c r="F70" s="5" t="n">
        <v>1</v>
      </c>
      <c r="G70" s="5" t="n">
        <v>2</v>
      </c>
      <c r="H70" s="5" t="n">
        <v>2</v>
      </c>
      <c r="I70" s="5" t="n">
        <v>0</v>
      </c>
      <c r="J70" s="5" t="n">
        <v>0</v>
      </c>
      <c r="K70" s="5" t="n">
        <v>2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/>
      <c r="S70" s="5" t="n">
        <v>0</v>
      </c>
      <c r="T70" s="5" t="n">
        <v>1</v>
      </c>
      <c r="U70" s="5" t="n">
        <v>0</v>
      </c>
      <c r="V70" s="5" t="n">
        <v>0</v>
      </c>
      <c r="W70" s="5" t="n">
        <v>0</v>
      </c>
      <c r="X70" s="5" t="n"/>
      <c r="Y70" s="5" t="n">
        <v>1832</v>
      </c>
      <c r="Z70" s="5" t="n">
        <v>1830</v>
      </c>
      <c r="AA70" s="5" t="n">
        <v>1</v>
      </c>
      <c r="AB70" s="6" t="inlineStr">
        <is>
          <t>+2 influence, +2 Political, +2 Campaign (elections only). Retraction: draw a card, and you may destroy a Scandal in your hand or discard pile.</t>
        </is>
      </c>
      <c r="AC70" s="6" t="inlineStr">
        <is>
          <t>Liberty and Union, now and forever, one and inseparable. It sold very well in print.</t>
        </is>
      </c>
    </row>
    <row r="71">
      <c r="A71" s="5" t="inlineStr">
        <is>
          <t>the_liberator</t>
        </is>
      </c>
      <c r="B71" s="6" t="inlineStr">
        <is>
          <t>The Liberator</t>
        </is>
      </c>
      <c r="C71" s="5" t="inlineStr">
        <is>
          <t>Social story</t>
        </is>
      </c>
      <c r="D71" s="5" t="inlineStr">
        <is>
          <t>Social</t>
        </is>
      </c>
      <c r="E71" s="5" t="n">
        <v>5</v>
      </c>
      <c r="F71" s="5" t="n">
        <v>1</v>
      </c>
      <c r="G71" s="5" t="n">
        <v>1</v>
      </c>
      <c r="H71" s="5" t="n">
        <v>0</v>
      </c>
      <c r="I71" s="5" t="n">
        <v>0</v>
      </c>
      <c r="J71" s="5" t="n">
        <v>2</v>
      </c>
      <c r="K71" s="5" t="n">
        <v>0</v>
      </c>
      <c r="L71" s="5" t="n">
        <v>1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/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/>
      <c r="Y71" s="5" t="n">
        <v>1832</v>
      </c>
      <c r="Z71" s="5" t="n">
        <v>1831</v>
      </c>
      <c r="AA71" s="5" t="n">
        <v>1</v>
      </c>
      <c r="AB71" s="6" t="inlineStr">
        <is>
          <t>+1 influence, +2 Social, draw 1 card.</t>
        </is>
      </c>
      <c r="AC71" s="6" t="inlineStr">
        <is>
          <t>Garrison's weekly in Boston: "I will not equivocate - I will not excuse - and I will be heard."</t>
        </is>
      </c>
    </row>
    <row r="72">
      <c r="A72" s="5" t="inlineStr">
        <is>
          <t>bank_war</t>
        </is>
      </c>
      <c r="B72" s="6" t="inlineStr">
        <is>
          <t>The Bank War</t>
        </is>
      </c>
      <c r="C72" s="5" t="inlineStr">
        <is>
          <t>Economic story</t>
        </is>
      </c>
      <c r="D72" s="5" t="inlineStr">
        <is>
          <t>Economic</t>
        </is>
      </c>
      <c r="E72" s="5" t="n">
        <v>5</v>
      </c>
      <c r="F72" s="5" t="n">
        <v>1</v>
      </c>
      <c r="G72" s="5" t="n">
        <v>2</v>
      </c>
      <c r="H72" s="5" t="n">
        <v>0</v>
      </c>
      <c r="I72" s="5" t="n">
        <v>1</v>
      </c>
      <c r="J72" s="5" t="n">
        <v>0</v>
      </c>
      <c r="K72" s="5" t="n">
        <v>0</v>
      </c>
      <c r="L72" s="5" t="n">
        <v>0</v>
      </c>
      <c r="M72" s="5" t="n">
        <v>1</v>
      </c>
      <c r="N72" s="5" t="n">
        <v>0</v>
      </c>
      <c r="O72" s="5" t="n">
        <v>0</v>
      </c>
      <c r="P72" s="5" t="n">
        <v>1</v>
      </c>
      <c r="Q72" s="5" t="n">
        <v>0</v>
      </c>
      <c r="R72" s="5" t="n"/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/>
      <c r="Y72" s="5" t="n">
        <v>1832</v>
      </c>
      <c r="Z72" s="5" t="n">
        <v>1832</v>
      </c>
      <c r="AA72" s="5" t="n">
        <v>1</v>
      </c>
      <c r="AB72" s="6" t="inlineStr">
        <is>
          <t>+2 influence, +1 Economic. You may destroy a card in your hand or discard pile. +1 influence for each other Economic story you play this turn.</t>
        </is>
      </c>
      <c r="AC72" s="6" t="inlineStr">
        <is>
          <t>The Bank tried to make itself the election. Jackson was delighted to oblige.</t>
        </is>
      </c>
    </row>
    <row r="73">
      <c r="A73" s="5" t="inlineStr">
        <is>
          <t>force_bill</t>
        </is>
      </c>
      <c r="B73" s="6" t="inlineStr">
        <is>
          <t>The Force Bill</t>
        </is>
      </c>
      <c r="C73" s="5" t="inlineStr">
        <is>
          <t>Political story</t>
        </is>
      </c>
      <c r="D73" s="5" t="inlineStr">
        <is>
          <t>Political</t>
        </is>
      </c>
      <c r="E73" s="5" t="n">
        <v>3</v>
      </c>
      <c r="F73" s="5" t="n">
        <v>1</v>
      </c>
      <c r="G73" s="5" t="n">
        <v>1</v>
      </c>
      <c r="H73" s="5" t="n">
        <v>2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/>
      <c r="S73" s="5" t="n">
        <v>0</v>
      </c>
      <c r="T73" s="5" t="n">
        <v>1</v>
      </c>
      <c r="U73" s="5" t="n">
        <v>0</v>
      </c>
      <c r="V73" s="5" t="n">
        <v>0</v>
      </c>
      <c r="W73" s="5" t="n">
        <v>0</v>
      </c>
      <c r="X73" s="5" t="n"/>
      <c r="Y73" s="5" t="n">
        <v>1836</v>
      </c>
      <c r="Z73" s="5" t="n">
        <v>1833</v>
      </c>
      <c r="AA73" s="5" t="n">
        <v>1</v>
      </c>
      <c r="AB73" s="6" t="inlineStr">
        <is>
          <t>+1 influence, +2 Political, +1 Campaign (elections only). Retraction: draw a card, and you may destroy a Scandal in your hand or discard pile.</t>
        </is>
      </c>
      <c r="AC73" s="6" t="inlineStr">
        <is>
          <t>Authority to collect the tariff by arms, signed the same day as the compromise that made it moot.</t>
        </is>
      </c>
    </row>
    <row r="74">
      <c r="A74" s="5" t="inlineStr">
        <is>
          <t>penny_press</t>
        </is>
      </c>
      <c r="B74" s="6" t="inlineStr">
        <is>
          <t>The Penny Press</t>
        </is>
      </c>
      <c r="C74" s="5" t="inlineStr">
        <is>
          <t>Media event</t>
        </is>
      </c>
      <c r="D74" s="5" t="n"/>
      <c r="E74" s="5" t="n">
        <v>6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/>
      <c r="S74" s="5" t="n">
        <v>0</v>
      </c>
      <c r="T74" s="5" t="n">
        <v>0</v>
      </c>
      <c r="U74" s="5" t="n">
        <v>0</v>
      </c>
      <c r="V74" s="5" t="n">
        <v>1</v>
      </c>
      <c r="W74" s="5" t="n">
        <v>1</v>
      </c>
      <c r="X74" s="5" t="inlineStr">
        <is>
          <t>Social</t>
        </is>
      </c>
      <c r="Y74" s="5" t="n">
        <v>1836</v>
      </c>
      <c r="Z74" s="5" t="n">
        <v>1833</v>
      </c>
      <c r="AA74" s="5" t="n">
        <v>1</v>
      </c>
      <c r="AB74" s="6" t="inlineStr">
        <is>
          <t>Stays in play for the rest of the game. Ongoing: at the start of each of your turns, draw 1 card. Every other paper gets +1 Social influence at the start of each of its turns.</t>
        </is>
      </c>
      <c r="AC74" s="6" t="inlineStr">
        <is>
          <t>A cent a copy, sold in the street rather than by subscription. Your own trade, industrialised.</t>
        </is>
      </c>
    </row>
    <row r="75">
      <c r="A75" s="5" t="inlineStr">
        <is>
          <t>gag_rule</t>
        </is>
      </c>
      <c r="B75" s="6" t="inlineStr">
        <is>
          <t>The Gag Rule</t>
        </is>
      </c>
      <c r="C75" s="5" t="inlineStr">
        <is>
          <t>Negative story</t>
        </is>
      </c>
      <c r="D75" s="5" t="inlineStr">
        <is>
          <t>Social</t>
        </is>
      </c>
      <c r="E75" s="5" t="n">
        <v>3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1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inlineStr">
        <is>
          <t>discard</t>
        </is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/>
      <c r="Y75" s="5" t="n">
        <v>1836</v>
      </c>
      <c r="Z75" s="5" t="n">
        <v>1836</v>
      </c>
      <c r="AA75" s="5" t="n">
        <v>1</v>
      </c>
      <c r="AB75" s="6" t="inlineStr">
        <is>
          <t>+1 influence, +1 Social. Attack: each rival paper discards a card at random; +1 influence if it hits any of them. Worth no prestige.</t>
        </is>
      </c>
      <c r="AC75" s="6" t="inlineStr">
        <is>
          <t>Antislavery petitions tabled unread, which turned the right of petition into the argument.</t>
        </is>
      </c>
    </row>
    <row r="76">
      <c r="A76" s="5" t="inlineStr">
        <is>
          <t>specie_circular</t>
        </is>
      </c>
      <c r="B76" s="6" t="inlineStr">
        <is>
          <t>The Specie Circular</t>
        </is>
      </c>
      <c r="C76" s="5" t="inlineStr">
        <is>
          <t>Economic story</t>
        </is>
      </c>
      <c r="D76" s="5" t="inlineStr">
        <is>
          <t>Economic</t>
        </is>
      </c>
      <c r="E76" s="5" t="n">
        <v>5</v>
      </c>
      <c r="F76" s="5" t="n">
        <v>1</v>
      </c>
      <c r="G76" s="5" t="n">
        <v>2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/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/>
      <c r="Y76" s="5" t="n">
        <v>1836</v>
      </c>
      <c r="Z76" s="5" t="n">
        <v>1836</v>
      </c>
      <c r="AA76" s="5" t="n">
        <v>1</v>
      </c>
      <c r="AB76" s="6" t="inlineStr">
        <is>
          <t>+2 influence, +1 Economic. You may destroy a card in your hand or discard pile. +1 influence for each other Economic story you play this turn.</t>
        </is>
      </c>
      <c r="AC76" s="6" t="inlineStr">
        <is>
          <t>Public land for gold and silver only. The paper economy discovered how thin it was.</t>
        </is>
      </c>
    </row>
    <row r="77">
      <c r="A77" s="5" t="inlineStr">
        <is>
          <t>panic_of_1837</t>
        </is>
      </c>
      <c r="B77" s="6" t="inlineStr">
        <is>
          <t>The Panic of 1837</t>
        </is>
      </c>
      <c r="C77" s="5" t="inlineStr">
        <is>
          <t>Negative story</t>
        </is>
      </c>
      <c r="D77" s="5" t="inlineStr">
        <is>
          <t>Economic</t>
        </is>
      </c>
      <c r="E77" s="5" t="n">
        <v>6</v>
      </c>
      <c r="F77" s="5" t="n">
        <v>0</v>
      </c>
      <c r="G77" s="5" t="n">
        <v>2</v>
      </c>
      <c r="H77" s="5" t="n">
        <v>0</v>
      </c>
      <c r="I77" s="5" t="n">
        <v>2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inlineStr">
        <is>
          <t>scandal</t>
        </is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/>
      <c r="Y77" s="5" t="n">
        <v>1840</v>
      </c>
      <c r="Z77" s="5" t="n">
        <v>1837</v>
      </c>
      <c r="AA77" s="5" t="n">
        <v>1</v>
      </c>
      <c r="AB77" s="6" t="inlineStr">
        <is>
          <t>+2 influence, +2 Economic. Attack: each rival paper gains a Scandal; +1 influence if it hits any of them. Worth no prestige.</t>
        </is>
      </c>
      <c r="AC77" s="6" t="inlineStr">
        <is>
          <t>Six years of depression, and a president renamed Van Ruin for the duration.</t>
        </is>
      </c>
    </row>
    <row r="78">
      <c r="A78" s="5" t="inlineStr">
        <is>
          <t>amistad</t>
        </is>
      </c>
      <c r="B78" s="6" t="inlineStr">
        <is>
          <t>The Amistad</t>
        </is>
      </c>
      <c r="C78" s="5" t="inlineStr">
        <is>
          <t>Social story</t>
        </is>
      </c>
      <c r="D78" s="5" t="inlineStr">
        <is>
          <t>Social</t>
        </is>
      </c>
      <c r="E78" s="5" t="n">
        <v>4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2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1</v>
      </c>
      <c r="P78" s="5" t="n">
        <v>0</v>
      </c>
      <c r="Q78" s="5" t="n">
        <v>0</v>
      </c>
      <c r="R78" s="5" t="n"/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/>
      <c r="Y78" s="5" t="n">
        <v>1840</v>
      </c>
      <c r="Z78" s="5" t="n">
        <v>1839</v>
      </c>
      <c r="AA78" s="5" t="n">
        <v>1</v>
      </c>
      <c r="AB78" s="6" t="inlineStr">
        <is>
          <t>+2 Social, draw 1 card. If you play another Social story this turn, +1 influence.</t>
        </is>
      </c>
      <c r="AC78" s="6" t="inlineStr">
        <is>
          <t>Africans who seized a slave ship were tried in Connecticut. John Quincy Adams took their case to the Supreme Court.</t>
        </is>
      </c>
    </row>
    <row r="79">
      <c r="A79" s="5" t="inlineStr">
        <is>
          <t>log_cabin_campaign</t>
        </is>
      </c>
      <c r="B79" s="6" t="inlineStr">
        <is>
          <t>Log Cabin and Hard Cider</t>
        </is>
      </c>
      <c r="C79" s="5" t="inlineStr">
        <is>
          <t>Social story</t>
        </is>
      </c>
      <c r="D79" s="5" t="inlineStr">
        <is>
          <t>Social</t>
        </is>
      </c>
      <c r="E79" s="5" t="n">
        <v>6</v>
      </c>
      <c r="F79" s="5" t="n">
        <v>2</v>
      </c>
      <c r="G79" s="5" t="n">
        <v>0</v>
      </c>
      <c r="H79" s="5" t="n">
        <v>0</v>
      </c>
      <c r="I79" s="5" t="n">
        <v>0</v>
      </c>
      <c r="J79" s="5" t="n">
        <v>2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2</v>
      </c>
      <c r="P79" s="5" t="n">
        <v>0</v>
      </c>
      <c r="Q79" s="5" t="n">
        <v>0</v>
      </c>
      <c r="R79" s="5" t="n"/>
      <c r="S79" s="5" t="n">
        <v>1</v>
      </c>
      <c r="T79" s="5" t="n">
        <v>0</v>
      </c>
      <c r="U79" s="5" t="n">
        <v>0</v>
      </c>
      <c r="V79" s="5" t="n">
        <v>0</v>
      </c>
      <c r="W79" s="5" t="n">
        <v>0</v>
      </c>
      <c r="X79" s="5" t="n"/>
      <c r="Y79" s="5" t="n">
        <v>1840</v>
      </c>
      <c r="Z79" s="5" t="n">
        <v>1840</v>
      </c>
      <c r="AA79" s="5" t="n">
        <v>1</v>
      </c>
      <c r="AB79" s="6" t="inlineStr">
        <is>
          <t>+2 Social, draw 1 card. If you play another Social story this turn, +2 influence. Defense: discard this from your hand to ignore a negative story, and draw a card.</t>
        </is>
      </c>
      <c r="AC79" s="6" t="inlineStr">
        <is>
          <t>The Whigs sold a Virginia planter's son as a frontiersman, and printed songbooks by the hundred thousand.</t>
        </is>
      </c>
    </row>
    <row r="80">
      <c r="A80" s="5" t="inlineStr">
        <is>
          <t>tyler_vetoes</t>
        </is>
      </c>
      <c r="B80" s="6" t="inlineStr">
        <is>
          <t>His Accidency's Vetoes</t>
        </is>
      </c>
      <c r="C80" s="5" t="inlineStr">
        <is>
          <t>Negative story</t>
        </is>
      </c>
      <c r="D80" s="5" t="inlineStr">
        <is>
          <t>Political</t>
        </is>
      </c>
      <c r="E80" s="5" t="n">
        <v>4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inlineStr">
        <is>
          <t>scandal</t>
        </is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/>
      <c r="Y80" s="5" t="n">
        <v>1844</v>
      </c>
      <c r="Z80" s="5" t="n">
        <v>1841</v>
      </c>
      <c r="AA80" s="5" t="n">
        <v>1</v>
      </c>
      <c r="AB80" s="6" t="inlineStr">
        <is>
          <t>+1 influence, +1 Political. Attack: each rival paper gains a Scandal; +1 influence if it hits any of them. Worth no prestige.</t>
        </is>
      </c>
      <c r="AC80" s="6" t="inlineStr">
        <is>
          <t>Tyler vetoed the Whig bank twice. His cabinet resigned and his party expelled him.</t>
        </is>
      </c>
    </row>
    <row r="81">
      <c r="A81" s="5" t="inlineStr">
        <is>
          <t>dorr_rebellion</t>
        </is>
      </c>
      <c r="B81" s="6" t="inlineStr">
        <is>
          <t>The Dorr Rebellion</t>
        </is>
      </c>
      <c r="C81" s="5" t="inlineStr">
        <is>
          <t>Negative story</t>
        </is>
      </c>
      <c r="D81" s="5" t="inlineStr">
        <is>
          <t>Social</t>
        </is>
      </c>
      <c r="E81" s="5" t="n">
        <v>4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inlineStr">
        <is>
          <t>scandal</t>
        </is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/>
      <c r="Y81" s="5" t="n">
        <v>1844</v>
      </c>
      <c r="Z81" s="5" t="n">
        <v>1842</v>
      </c>
      <c r="AA81" s="5" t="n">
        <v>1</v>
      </c>
      <c r="AB81" s="6" t="inlineStr">
        <is>
          <t>+1 influence, +1 Social. Attack: each rival paper gains a Scandal; +1 influence if it hits any of them. Worth no prestige.</t>
        </is>
      </c>
      <c r="AC81" s="6" t="inlineStr">
        <is>
          <t>Rhode Island briefly had two governors, over who was allowed to vote.</t>
        </is>
      </c>
    </row>
    <row r="82">
      <c r="A82" s="5" t="inlineStr">
        <is>
          <t>webster_ashburton</t>
        </is>
      </c>
      <c r="B82" s="6" t="inlineStr">
        <is>
          <t>The Webster-Ashburton Treaty</t>
        </is>
      </c>
      <c r="C82" s="5" t="inlineStr">
        <is>
          <t>Economic story</t>
        </is>
      </c>
      <c r="D82" s="5" t="inlineStr">
        <is>
          <t>Economic</t>
        </is>
      </c>
      <c r="E82" s="5" t="n">
        <v>5</v>
      </c>
      <c r="F82" s="5" t="n">
        <v>1</v>
      </c>
      <c r="G82" s="5" t="n">
        <v>2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1</v>
      </c>
      <c r="Q82" s="5" t="n">
        <v>0</v>
      </c>
      <c r="R82" s="5" t="n"/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/>
      <c r="Y82" s="5" t="n">
        <v>1844</v>
      </c>
      <c r="Z82" s="5" t="n">
        <v>1842</v>
      </c>
      <c r="AA82" s="5" t="n">
        <v>1</v>
      </c>
      <c r="AB82" s="6" t="inlineStr">
        <is>
          <t>+2 influence, +1 Economic. You may destroy a card in your hand or discard pile. +1 influence for each other Economic story you play this turn.</t>
        </is>
      </c>
      <c r="AC82" s="6" t="inlineStr">
        <is>
          <t>The Maine border settled by negotiation, without the war the papers had been promising.</t>
        </is>
      </c>
    </row>
    <row r="83">
      <c r="A83" s="5" t="inlineStr">
        <is>
          <t>telegraph</t>
        </is>
      </c>
      <c r="B83" s="6" t="inlineStr">
        <is>
          <t>The Magnetic Telegraph</t>
        </is>
      </c>
      <c r="C83" s="5" t="inlineStr">
        <is>
          <t>Media event</t>
        </is>
      </c>
      <c r="D83" s="5" t="n"/>
      <c r="E83" s="5" t="n">
        <v>7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/>
      <c r="S83" s="5" t="n">
        <v>0</v>
      </c>
      <c r="T83" s="5" t="n">
        <v>0</v>
      </c>
      <c r="U83" s="5" t="n">
        <v>1</v>
      </c>
      <c r="V83" s="5" t="n">
        <v>1</v>
      </c>
      <c r="W83" s="5" t="n">
        <v>1</v>
      </c>
      <c r="X83" s="5" t="n"/>
      <c r="Y83" s="5" t="n">
        <v>1844</v>
      </c>
      <c r="Z83" s="5" t="n">
        <v>1844</v>
      </c>
      <c r="AA83" s="5" t="n">
        <v>1</v>
      </c>
      <c r="AB83" s="6" t="inlineStr">
        <is>
          <t>Stays in play for the rest of the game. Ongoing: at the start of each of your turns, +1 influence and draw 1 card. Every other paper gets +1 influence at the start of each of its turns.</t>
        </is>
      </c>
      <c r="AC83" s="6" t="inlineStr">
        <is>
          <t>Morse's line from Washington to Baltimore. News now moved faster than the mail that carried the papers.</t>
        </is>
      </c>
    </row>
    <row r="84">
      <c r="A84" s="5" t="inlineStr">
        <is>
          <t>texas_annexation</t>
        </is>
      </c>
      <c r="B84" s="6" t="inlineStr">
        <is>
          <t>The Annexation of Texas</t>
        </is>
      </c>
      <c r="C84" s="5" t="inlineStr">
        <is>
          <t>Political story</t>
        </is>
      </c>
      <c r="D84" s="5" t="inlineStr">
        <is>
          <t>Political</t>
        </is>
      </c>
      <c r="E84" s="5" t="n">
        <v>6</v>
      </c>
      <c r="F84" s="5" t="n">
        <v>2</v>
      </c>
      <c r="G84" s="5" t="n">
        <v>2</v>
      </c>
      <c r="H84" s="5" t="n">
        <v>3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/>
      <c r="S84" s="5" t="n">
        <v>0</v>
      </c>
      <c r="T84" s="5" t="n">
        <v>1</v>
      </c>
      <c r="U84" s="5" t="n">
        <v>0</v>
      </c>
      <c r="V84" s="5" t="n">
        <v>0</v>
      </c>
      <c r="W84" s="5" t="n">
        <v>0</v>
      </c>
      <c r="X84" s="5" t="n"/>
      <c r="Y84" s="5" t="n">
        <v>1848</v>
      </c>
      <c r="Z84" s="5" t="n">
        <v>1845</v>
      </c>
      <c r="AA84" s="5" t="n">
        <v>1</v>
      </c>
      <c r="AB84" s="6" t="inlineStr">
        <is>
          <t>+2 influence, +3 Political. +1 Political for each election you have won. Retraction: draw a card, and you may destroy a Scandal in your hand or discard pile.</t>
        </is>
      </c>
      <c r="AC84" s="6" t="inlineStr">
        <is>
          <t>Admitted by joint resolution because a treaty could not get two thirds.</t>
        </is>
      </c>
    </row>
    <row r="85">
      <c r="A85" s="5" t="inlineStr">
        <is>
          <t>oregon_treaty</t>
        </is>
      </c>
      <c r="B85" s="6" t="inlineStr">
        <is>
          <t>Fifty-four Forty</t>
        </is>
      </c>
      <c r="C85" s="5" t="inlineStr">
        <is>
          <t>Social story</t>
        </is>
      </c>
      <c r="D85" s="5" t="inlineStr">
        <is>
          <t>Social</t>
        </is>
      </c>
      <c r="E85" s="5" t="n">
        <v>5</v>
      </c>
      <c r="F85" s="5" t="n">
        <v>1</v>
      </c>
      <c r="G85" s="5" t="n">
        <v>1</v>
      </c>
      <c r="H85" s="5" t="n">
        <v>0</v>
      </c>
      <c r="I85" s="5" t="n">
        <v>0</v>
      </c>
      <c r="J85" s="5" t="n">
        <v>2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/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/>
      <c r="Y85" s="5" t="n">
        <v>1848</v>
      </c>
      <c r="Z85" s="5" t="n">
        <v>1846</v>
      </c>
      <c r="AA85" s="5" t="n">
        <v>1</v>
      </c>
      <c r="AB85" s="6" t="inlineStr">
        <is>
          <t>+1 influence, +2 Social, draw 1 card.</t>
        </is>
      </c>
      <c r="AC85" s="6" t="inlineStr">
        <is>
          <t>Fifty-four forty or fight, settled quietly at forty-nine.</t>
        </is>
      </c>
    </row>
    <row r="86">
      <c r="A86" s="5" t="inlineStr">
        <is>
          <t>associated_press</t>
        </is>
      </c>
      <c r="B86" s="6" t="inlineStr">
        <is>
          <t>The Associated Press</t>
        </is>
      </c>
      <c r="C86" s="5" t="inlineStr">
        <is>
          <t>Media event</t>
        </is>
      </c>
      <c r="D86" s="5" t="n"/>
      <c r="E86" s="5" t="n">
        <v>6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/>
      <c r="S86" s="5" t="n">
        <v>0</v>
      </c>
      <c r="T86" s="5" t="n">
        <v>0</v>
      </c>
      <c r="U86" s="5" t="n">
        <v>2</v>
      </c>
      <c r="V86" s="5" t="n">
        <v>0</v>
      </c>
      <c r="W86" s="5" t="n">
        <v>1</v>
      </c>
      <c r="X86" s="5" t="n"/>
      <c r="Y86" s="5" t="n">
        <v>1848</v>
      </c>
      <c r="Z86" s="5" t="n">
        <v>1846</v>
      </c>
      <c r="AA86" s="5" t="n">
        <v>1</v>
      </c>
      <c r="AB86" s="6" t="inlineStr">
        <is>
          <t>Stays in play for the rest of the game. Ongoing: at the start of each of your turns, +2 influence. Every other paper gets +1 influence at the start of each of its turns.</t>
        </is>
      </c>
      <c r="AC86" s="6" t="inlineStr">
        <is>
          <t>New York papers pooled the cost of news from the Mexican War, and sold it to everyone else.</t>
        </is>
      </c>
    </row>
    <row r="87">
      <c r="A87" s="5" t="inlineStr">
        <is>
          <t>mexican_war</t>
        </is>
      </c>
      <c r="B87" s="6" t="inlineStr">
        <is>
          <t>The Mexican War</t>
        </is>
      </c>
      <c r="C87" s="5" t="inlineStr">
        <is>
          <t>Political story</t>
        </is>
      </c>
      <c r="D87" s="5" t="inlineStr">
        <is>
          <t>Political</t>
        </is>
      </c>
      <c r="E87" s="5" t="n">
        <v>6</v>
      </c>
      <c r="F87" s="5" t="n">
        <v>2</v>
      </c>
      <c r="G87" s="5" t="n">
        <v>2</v>
      </c>
      <c r="H87" s="5" t="n">
        <v>3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1</v>
      </c>
      <c r="R87" s="5" t="n"/>
      <c r="S87" s="5" t="n">
        <v>0</v>
      </c>
      <c r="T87" s="5" t="n">
        <v>1</v>
      </c>
      <c r="U87" s="5" t="n">
        <v>0</v>
      </c>
      <c r="V87" s="5" t="n">
        <v>0</v>
      </c>
      <c r="W87" s="5" t="n">
        <v>0</v>
      </c>
      <c r="X87" s="5" t="n"/>
      <c r="Y87" s="5" t="n">
        <v>1848</v>
      </c>
      <c r="Z87" s="5" t="n">
        <v>1846</v>
      </c>
      <c r="AA87" s="5" t="n">
        <v>1</v>
      </c>
      <c r="AB87" s="6" t="inlineStr">
        <is>
          <t>+2 influence, +3 Political. +1 Political for each election you have won. Retraction: draw a card, and you may destroy a Scandal in your hand or discard pile.</t>
        </is>
      </c>
      <c r="AC87" s="6" t="inlineStr">
        <is>
          <t>American blood shed on American soil, if you accepted where the soil began.</t>
        </is>
      </c>
    </row>
    <row r="88">
      <c r="A88" s="5" t="inlineStr">
        <is>
          <t>wilmot_proviso</t>
        </is>
      </c>
      <c r="B88" s="6" t="inlineStr">
        <is>
          <t>The Wilmot Proviso</t>
        </is>
      </c>
      <c r="C88" s="5" t="inlineStr">
        <is>
          <t>Social story</t>
        </is>
      </c>
      <c r="D88" s="5" t="inlineStr">
        <is>
          <t>Social</t>
        </is>
      </c>
      <c r="E88" s="5" t="n">
        <v>3</v>
      </c>
      <c r="F88" s="5" t="n">
        <v>1</v>
      </c>
      <c r="G88" s="5" t="n">
        <v>0</v>
      </c>
      <c r="H88" s="5" t="n">
        <v>0</v>
      </c>
      <c r="I88" s="5" t="n">
        <v>0</v>
      </c>
      <c r="J88" s="5" t="n">
        <v>1</v>
      </c>
      <c r="K88" s="5" t="n">
        <v>0</v>
      </c>
      <c r="L88" s="5" t="n">
        <v>1</v>
      </c>
      <c r="M88" s="5" t="n">
        <v>0</v>
      </c>
      <c r="N88" s="5" t="n">
        <v>0</v>
      </c>
      <c r="O88" s="5" t="n">
        <v>1</v>
      </c>
      <c r="P88" s="5" t="n">
        <v>0</v>
      </c>
      <c r="Q88" s="5" t="n">
        <v>0</v>
      </c>
      <c r="R88" s="5" t="n"/>
      <c r="S88" s="5" t="n">
        <v>1</v>
      </c>
      <c r="T88" s="5" t="n">
        <v>0</v>
      </c>
      <c r="U88" s="5" t="n">
        <v>0</v>
      </c>
      <c r="V88" s="5" t="n">
        <v>0</v>
      </c>
      <c r="W88" s="5" t="n">
        <v>0</v>
      </c>
      <c r="X88" s="5" t="n"/>
      <c r="Y88" s="5" t="n">
        <v>1848</v>
      </c>
      <c r="Z88" s="5" t="n">
        <v>1846</v>
      </c>
      <c r="AA88" s="5" t="n">
        <v>1</v>
      </c>
      <c r="AB88" s="6" t="inlineStr">
        <is>
          <t>+1 Social, draw 1 card. If you play another Social story this turn, +1 influence. Defense: discard this from your hand to ignore a negative story, and draw a card.</t>
        </is>
      </c>
      <c r="AC88" s="6" t="inlineStr">
        <is>
          <t>Neither slavery nor involuntary servitude in any territory taken from Mexico. It passed the House eight times.</t>
        </is>
      </c>
    </row>
    <row r="89">
      <c r="A89" s="5" t="inlineStr">
        <is>
          <t>rotary_press</t>
        </is>
      </c>
      <c r="B89" s="6" t="inlineStr">
        <is>
          <t>The Rotary Press</t>
        </is>
      </c>
      <c r="C89" s="5" t="inlineStr">
        <is>
          <t>Media event</t>
        </is>
      </c>
      <c r="D89" s="5" t="n"/>
      <c r="E89" s="5" t="n">
        <v>7</v>
      </c>
      <c r="F89" s="5" t="n">
        <v>2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/>
      <c r="S89" s="5" t="n">
        <v>0</v>
      </c>
      <c r="T89" s="5" t="n">
        <v>0</v>
      </c>
      <c r="U89" s="5" t="n">
        <v>1</v>
      </c>
      <c r="V89" s="5" t="n">
        <v>1</v>
      </c>
      <c r="W89" s="5" t="n">
        <v>1</v>
      </c>
      <c r="X89" s="5" t="inlineStr">
        <is>
          <t>Economic</t>
        </is>
      </c>
      <c r="Y89" s="5" t="n">
        <v>1848</v>
      </c>
      <c r="Z89" s="5" t="n">
        <v>1847</v>
      </c>
      <c r="AA89" s="5" t="n">
        <v>1</v>
      </c>
      <c r="AB89" s="6" t="inlineStr">
        <is>
          <t>Stays in play for the rest of the game. Ongoing: at the start of each of your turns, +1 influence and draw 1 card. Every other paper gets +1 Economic influence at the start of each of its turns.</t>
        </is>
      </c>
      <c r="AC89" s="6" t="inlineStr">
        <is>
          <t>Hoe's type-revolving press printed thousands of sheets an hour. Circulation was now limited by readers, not machines.</t>
        </is>
      </c>
    </row>
    <row r="90">
      <c r="A90" s="5" t="inlineStr">
        <is>
          <t>free_soil</t>
        </is>
      </c>
      <c r="B90" s="6" t="inlineStr">
        <is>
          <t>The Free Soil Party</t>
        </is>
      </c>
      <c r="C90" s="5" t="inlineStr">
        <is>
          <t>Economic story</t>
        </is>
      </c>
      <c r="D90" s="5" t="inlineStr">
        <is>
          <t>Economic</t>
        </is>
      </c>
      <c r="E90" s="5" t="n">
        <v>5</v>
      </c>
      <c r="F90" s="5" t="n">
        <v>1</v>
      </c>
      <c r="G90" s="5" t="n">
        <v>2</v>
      </c>
      <c r="H90" s="5" t="n">
        <v>0</v>
      </c>
      <c r="I90" s="5" t="n">
        <v>1</v>
      </c>
      <c r="J90" s="5" t="n">
        <v>0</v>
      </c>
      <c r="K90" s="5" t="n">
        <v>0</v>
      </c>
      <c r="L90" s="5" t="n">
        <v>0</v>
      </c>
      <c r="M90" s="5" t="n">
        <v>1</v>
      </c>
      <c r="N90" s="5" t="n">
        <v>0</v>
      </c>
      <c r="O90" s="5" t="n">
        <v>0</v>
      </c>
      <c r="P90" s="5" t="n">
        <v>1</v>
      </c>
      <c r="Q90" s="5" t="n">
        <v>0</v>
      </c>
      <c r="R90" s="5" t="n"/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/>
      <c r="Y90" s="5" t="n">
        <v>1848</v>
      </c>
      <c r="Z90" s="5" t="n">
        <v>1848</v>
      </c>
      <c r="AA90" s="5" t="n">
        <v>1</v>
      </c>
      <c r="AB90" s="6" t="inlineStr">
        <is>
          <t>+2 influence, +1 Economic. You may destroy a card in your hand or discard pile. +1 influence for each other Economic story you play this turn.</t>
        </is>
      </c>
      <c r="AC90" s="6" t="inlineStr">
        <is>
          <t>Free soil, free speech, free labor and free men. Van Buren ran on it and handed New York to Taylor.</t>
        </is>
      </c>
    </row>
    <row r="91">
      <c r="A91" s="5" t="inlineStr">
        <is>
          <t>gold_rush</t>
        </is>
      </c>
      <c r="B91" s="6" t="inlineStr">
        <is>
          <t>The Gold Rush</t>
        </is>
      </c>
      <c r="C91" s="5" t="inlineStr">
        <is>
          <t>Economic story</t>
        </is>
      </c>
      <c r="D91" s="5" t="inlineStr">
        <is>
          <t>Economic</t>
        </is>
      </c>
      <c r="E91" s="5" t="n">
        <v>8</v>
      </c>
      <c r="F91" s="5" t="n">
        <v>3</v>
      </c>
      <c r="G91" s="5" t="n">
        <v>4</v>
      </c>
      <c r="H91" s="5" t="n">
        <v>0</v>
      </c>
      <c r="I91" s="5" t="n">
        <v>2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5</v>
      </c>
      <c r="O91" s="5" t="n">
        <v>0</v>
      </c>
      <c r="P91" s="5" t="n">
        <v>1</v>
      </c>
      <c r="Q91" s="5" t="n">
        <v>0</v>
      </c>
      <c r="R91" s="5" t="n"/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/>
      <c r="Y91" s="5" t="n">
        <v>1852</v>
      </c>
      <c r="Z91" s="5" t="n">
        <v>1849</v>
      </c>
      <c r="AA91" s="5" t="n">
        <v>1</v>
      </c>
      <c r="AB91" s="6" t="inlineStr">
        <is>
          <t>+4 influence, +2 Economic. Gain a story costing 5 or less from the exchange. +1 influence for each other Economic story you play this turn.</t>
        </is>
      </c>
      <c r="AC91" s="6" t="inlineStr">
        <is>
          <t>Ninety thousand people crossed a continent in a year, and California wanted in at once.</t>
        </is>
      </c>
    </row>
    <row r="92">
      <c r="A92" s="5" t="inlineStr">
        <is>
          <t>compromise_1850</t>
        </is>
      </c>
      <c r="B92" s="6" t="inlineStr">
        <is>
          <t>The Compromise of 1850</t>
        </is>
      </c>
      <c r="C92" s="5" t="inlineStr">
        <is>
          <t>Economic story</t>
        </is>
      </c>
      <c r="D92" s="5" t="inlineStr">
        <is>
          <t>Economic</t>
        </is>
      </c>
      <c r="E92" s="5" t="n">
        <v>5</v>
      </c>
      <c r="F92" s="5" t="n">
        <v>1</v>
      </c>
      <c r="G92" s="5" t="n">
        <v>2</v>
      </c>
      <c r="H92" s="5" t="n">
        <v>0</v>
      </c>
      <c r="I92" s="5" t="n">
        <v>1</v>
      </c>
      <c r="J92" s="5" t="n">
        <v>0</v>
      </c>
      <c r="K92" s="5" t="n">
        <v>0</v>
      </c>
      <c r="L92" s="5" t="n">
        <v>0</v>
      </c>
      <c r="M92" s="5" t="n">
        <v>1</v>
      </c>
      <c r="N92" s="5" t="n">
        <v>0</v>
      </c>
      <c r="O92" s="5" t="n">
        <v>0</v>
      </c>
      <c r="P92" s="5" t="n">
        <v>1</v>
      </c>
      <c r="Q92" s="5" t="n">
        <v>0</v>
      </c>
      <c r="R92" s="5" t="n"/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/>
      <c r="Y92" s="5" t="n">
        <v>1852</v>
      </c>
      <c r="Z92" s="5" t="n">
        <v>1850</v>
      </c>
      <c r="AA92" s="5" t="n">
        <v>1</v>
      </c>
      <c r="AB92" s="6" t="inlineStr">
        <is>
          <t>+2 influence, +1 Economic. You may destroy a card in your hand or discard pile. +1 influence for each other Economic story you play this turn.</t>
        </is>
      </c>
      <c r="AC92" s="6" t="inlineStr">
        <is>
          <t>Five bills passed separately because no majority existed for all five together.</t>
        </is>
      </c>
    </row>
    <row r="93">
      <c r="A93" s="5" t="inlineStr">
        <is>
          <t>fugitive_slave_act</t>
        </is>
      </c>
      <c r="B93" s="6" t="inlineStr">
        <is>
          <t>The Fugitive Slave Act</t>
        </is>
      </c>
      <c r="C93" s="5" t="inlineStr">
        <is>
          <t>Negative story</t>
        </is>
      </c>
      <c r="D93" s="5" t="inlineStr">
        <is>
          <t>Social</t>
        </is>
      </c>
      <c r="E93" s="5" t="n">
        <v>4</v>
      </c>
      <c r="F93" s="5" t="n">
        <v>0</v>
      </c>
      <c r="G93" s="5" t="n">
        <v>1</v>
      </c>
      <c r="H93" s="5" t="n">
        <v>0</v>
      </c>
      <c r="I93" s="5" t="n">
        <v>0</v>
      </c>
      <c r="J93" s="5" t="n">
        <v>1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inlineStr">
        <is>
          <t>scandal</t>
        </is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/>
      <c r="Y93" s="5" t="n">
        <v>1852</v>
      </c>
      <c r="Z93" s="5" t="n">
        <v>1850</v>
      </c>
      <c r="AA93" s="5" t="n">
        <v>1</v>
      </c>
      <c r="AB93" s="6" t="inlineStr">
        <is>
          <t>+1 influence, +1 Social. Attack: each rival paper gains a Scandal; +1 influence if it hits any of them. Worth no prestige.</t>
        </is>
      </c>
      <c r="AC93" s="6" t="inlineStr">
        <is>
          <t>Federal power used against the North on behalf of the South, and it radicalised both.</t>
        </is>
      </c>
    </row>
    <row r="94">
      <c r="A94" s="5" t="inlineStr">
        <is>
          <t>georgia_platform</t>
        </is>
      </c>
      <c r="B94" s="6" t="inlineStr">
        <is>
          <t>The Georgia Platform</t>
        </is>
      </c>
      <c r="C94" s="5" t="inlineStr">
        <is>
          <t>Political story</t>
        </is>
      </c>
      <c r="D94" s="5" t="inlineStr">
        <is>
          <t>Political</t>
        </is>
      </c>
      <c r="E94" s="5" t="n">
        <v>4</v>
      </c>
      <c r="F94" s="5" t="n">
        <v>1</v>
      </c>
      <c r="G94" s="5" t="n">
        <v>1</v>
      </c>
      <c r="H94" s="5" t="n">
        <v>2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1</v>
      </c>
      <c r="R94" s="5" t="n"/>
      <c r="S94" s="5" t="n">
        <v>0</v>
      </c>
      <c r="T94" s="5" t="n">
        <v>1</v>
      </c>
      <c r="U94" s="5" t="n">
        <v>0</v>
      </c>
      <c r="V94" s="5" t="n">
        <v>0</v>
      </c>
      <c r="W94" s="5" t="n">
        <v>0</v>
      </c>
      <c r="X94" s="5" t="n"/>
      <c r="Y94" s="5" t="n">
        <v>1852</v>
      </c>
      <c r="Z94" s="5" t="n">
        <v>1850</v>
      </c>
      <c r="AA94" s="5" t="n">
        <v>1</v>
      </c>
      <c r="AB94" s="6" t="inlineStr">
        <is>
          <t>+1 influence, +2 Political. +1 Political for each election you have won. Retraction: draw a card, and you may destroy a Scandal in your hand or discard pile.</t>
        </is>
      </c>
      <c r="AC94" s="6" t="inlineStr">
        <is>
          <t>Georgia would accept the Compromise, and named the conditions under which it would not.</t>
        </is>
      </c>
    </row>
    <row r="95">
      <c r="A95" s="5" t="inlineStr">
        <is>
          <t>nashville_convention</t>
        </is>
      </c>
      <c r="B95" s="6" t="inlineStr">
        <is>
          <t>The Nashville Convention</t>
        </is>
      </c>
      <c r="C95" s="5" t="inlineStr">
        <is>
          <t>Negative story</t>
        </is>
      </c>
      <c r="D95" s="5" t="inlineStr">
        <is>
          <t>Political</t>
        </is>
      </c>
      <c r="E95" s="5" t="n">
        <v>3</v>
      </c>
      <c r="F95" s="5" t="n">
        <v>0</v>
      </c>
      <c r="G95" s="5" t="n">
        <v>1</v>
      </c>
      <c r="H95" s="5" t="n">
        <v>1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inlineStr">
        <is>
          <t>discard</t>
        </is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/>
      <c r="Y95" s="5" t="n">
        <v>1852</v>
      </c>
      <c r="Z95" s="5" t="n">
        <v>1850</v>
      </c>
      <c r="AA95" s="5" t="n">
        <v>1</v>
      </c>
      <c r="AB95" s="6" t="inlineStr">
        <is>
          <t>+1 influence, +1 Political. Attack: each rival paper discards a card at random; +1 influence if it hits any of them. Worth no prestige.</t>
        </is>
      </c>
      <c r="AC95" s="6" t="inlineStr">
        <is>
          <t>Nine states met to consider what the South would do if the territories were closed.</t>
        </is>
      </c>
    </row>
    <row r="96">
      <c r="A96" s="5" t="inlineStr">
        <is>
          <t>cheap_postage</t>
        </is>
      </c>
      <c r="B96" s="6" t="inlineStr">
        <is>
          <t>The Cheap Postage Act</t>
        </is>
      </c>
      <c r="C96" s="5" t="inlineStr">
        <is>
          <t>Media event</t>
        </is>
      </c>
      <c r="D96" s="5" t="n"/>
      <c r="E96" s="5" t="n">
        <v>5</v>
      </c>
      <c r="F96" s="5" t="n">
        <v>1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/>
      <c r="S96" s="5" t="n">
        <v>0</v>
      </c>
      <c r="T96" s="5" t="n">
        <v>0</v>
      </c>
      <c r="U96" s="5" t="n">
        <v>1</v>
      </c>
      <c r="V96" s="5" t="n">
        <v>0</v>
      </c>
      <c r="W96" s="5" t="n">
        <v>1</v>
      </c>
      <c r="X96" s="5" t="inlineStr">
        <is>
          <t>Social</t>
        </is>
      </c>
      <c r="Y96" s="5" t="n">
        <v>1852</v>
      </c>
      <c r="Z96" s="5" t="n">
        <v>1851</v>
      </c>
      <c r="AA96" s="5" t="n">
        <v>1</v>
      </c>
      <c r="AB96" s="6" t="inlineStr">
        <is>
          <t>Stays in play for the rest of the game. Ongoing: at the start of each of your turns, +1 influence. Every other paper gets +1 Social influence at the start of each of its turns.</t>
        </is>
      </c>
      <c r="AC96" s="6" t="inlineStr">
        <is>
          <t>Congress cut newspaper postage again, and the country weekly reached its county for next to nothing.</t>
        </is>
      </c>
    </row>
    <row r="97">
      <c r="A97" s="5" t="inlineStr">
        <is>
          <t>uncle_toms_cabin</t>
        </is>
      </c>
      <c r="B97" s="6" t="inlineStr">
        <is>
          <t>Uncle Tom's Cabin</t>
        </is>
      </c>
      <c r="C97" s="5" t="inlineStr">
        <is>
          <t>Social story</t>
        </is>
      </c>
      <c r="D97" s="5" t="inlineStr">
        <is>
          <t>Social</t>
        </is>
      </c>
      <c r="E97" s="5" t="n">
        <v>7</v>
      </c>
      <c r="F97" s="5" t="n">
        <v>2</v>
      </c>
      <c r="G97" s="5" t="n">
        <v>1</v>
      </c>
      <c r="H97" s="5" t="n">
        <v>0</v>
      </c>
      <c r="I97" s="5" t="n">
        <v>0</v>
      </c>
      <c r="J97" s="5" t="n">
        <v>2</v>
      </c>
      <c r="K97" s="5" t="n">
        <v>0</v>
      </c>
      <c r="L97" s="5" t="n">
        <v>2</v>
      </c>
      <c r="M97" s="5" t="n">
        <v>0</v>
      </c>
      <c r="N97" s="5" t="n">
        <v>0</v>
      </c>
      <c r="O97" s="5" t="n">
        <v>1</v>
      </c>
      <c r="P97" s="5" t="n">
        <v>0</v>
      </c>
      <c r="Q97" s="5" t="n">
        <v>0</v>
      </c>
      <c r="R97" s="5" t="n"/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/>
      <c r="Y97" s="5" t="n">
        <v>1852</v>
      </c>
      <c r="Z97" s="5" t="n">
        <v>1852</v>
      </c>
      <c r="AA97" s="5" t="n">
        <v>1</v>
      </c>
      <c r="AB97" s="6" t="inlineStr">
        <is>
          <t>+1 influence, +2 Social, draw 2 cards. If you play another Social story this turn, +1 influence.</t>
        </is>
      </c>
      <c r="AC97" s="6" t="inlineStr">
        <is>
          <t>Three hundred thousand copies in a year. The best-selling argument any of you ever printed.</t>
        </is>
      </c>
    </row>
    <row r="98">
      <c r="A98" s="5" t="inlineStr">
        <is>
          <t>transcontinental_railroad</t>
        </is>
      </c>
      <c r="B98" s="6" t="inlineStr">
        <is>
          <t>The Pacific Railroad Surveys</t>
        </is>
      </c>
      <c r="C98" s="5" t="inlineStr">
        <is>
          <t>Economic story</t>
        </is>
      </c>
      <c r="D98" s="5" t="inlineStr">
        <is>
          <t>Economic</t>
        </is>
      </c>
      <c r="E98" s="5" t="n">
        <v>7</v>
      </c>
      <c r="F98" s="5" t="n">
        <v>2</v>
      </c>
      <c r="G98" s="5" t="n">
        <v>3</v>
      </c>
      <c r="H98" s="5" t="n">
        <v>0</v>
      </c>
      <c r="I98" s="5" t="n">
        <v>2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1</v>
      </c>
      <c r="Q98" s="5" t="n">
        <v>0</v>
      </c>
      <c r="R98" s="5" t="n"/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/>
      <c r="Y98" s="5" t="n">
        <v>1856</v>
      </c>
      <c r="Z98" s="5" t="n">
        <v>1853</v>
      </c>
      <c r="AA98" s="5" t="n">
        <v>1</v>
      </c>
      <c r="AB98" s="6" t="inlineStr">
        <is>
          <t>+3 influence, +2 Economic. +1 influence for each other Economic story you play this turn.</t>
        </is>
      </c>
      <c r="AC98" s="6" t="inlineStr">
        <is>
          <t>Every proposed route was an argument about which section would own the future.</t>
        </is>
      </c>
    </row>
    <row r="99">
      <c r="A99" s="5" t="inlineStr">
        <is>
          <t>gadsden_purchase</t>
        </is>
      </c>
      <c r="B99" s="6" t="inlineStr">
        <is>
          <t>The Gadsden Purchase</t>
        </is>
      </c>
      <c r="C99" s="5" t="inlineStr">
        <is>
          <t>Economic story</t>
        </is>
      </c>
      <c r="D99" s="5" t="inlineStr">
        <is>
          <t>Economic</t>
        </is>
      </c>
      <c r="E99" s="5" t="n">
        <v>6</v>
      </c>
      <c r="F99" s="5" t="n">
        <v>2</v>
      </c>
      <c r="G99" s="5" t="n">
        <v>2</v>
      </c>
      <c r="H99" s="5" t="n">
        <v>0</v>
      </c>
      <c r="I99" s="5" t="n">
        <v>2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4</v>
      </c>
      <c r="O99" s="5" t="n">
        <v>0</v>
      </c>
      <c r="P99" s="5" t="n">
        <v>1</v>
      </c>
      <c r="Q99" s="5" t="n">
        <v>0</v>
      </c>
      <c r="R99" s="5" t="n"/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/>
      <c r="Y99" s="5" t="n">
        <v>1856</v>
      </c>
      <c r="Z99" s="5" t="n">
        <v>1854</v>
      </c>
      <c r="AA99" s="5" t="n">
        <v>1</v>
      </c>
      <c r="AB99" s="6" t="inlineStr">
        <is>
          <t>+2 influence, +2 Economic. Gain a story costing 4 or less from the exchange. +1 influence for each other Economic story you play this turn.</t>
        </is>
      </c>
      <c r="AC99" s="6" t="inlineStr">
        <is>
          <t>Ten million dollars of desert, bought for a southern railroad route.</t>
        </is>
      </c>
    </row>
    <row r="100">
      <c r="A100" s="5" t="inlineStr">
        <is>
          <t>kansas_nebraska</t>
        </is>
      </c>
      <c r="B100" s="6" t="inlineStr">
        <is>
          <t>The Kansas-Nebraska Act</t>
        </is>
      </c>
      <c r="C100" s="5" t="inlineStr">
        <is>
          <t>Political story</t>
        </is>
      </c>
      <c r="D100" s="5" t="inlineStr">
        <is>
          <t>Political</t>
        </is>
      </c>
      <c r="E100" s="5" t="n">
        <v>4</v>
      </c>
      <c r="F100" s="5" t="n">
        <v>1</v>
      </c>
      <c r="G100" s="5" t="n">
        <v>1</v>
      </c>
      <c r="H100" s="5" t="n">
        <v>2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1</v>
      </c>
      <c r="R100" s="5" t="n"/>
      <c r="S100" s="5" t="n">
        <v>0</v>
      </c>
      <c r="T100" s="5" t="n">
        <v>1</v>
      </c>
      <c r="U100" s="5" t="n">
        <v>0</v>
      </c>
      <c r="V100" s="5" t="n">
        <v>0</v>
      </c>
      <c r="W100" s="5" t="n">
        <v>0</v>
      </c>
      <c r="X100" s="5" t="n"/>
      <c r="Y100" s="5" t="n">
        <v>1856</v>
      </c>
      <c r="Z100" s="5" t="n">
        <v>1854</v>
      </c>
      <c r="AA100" s="5" t="n">
        <v>1</v>
      </c>
      <c r="AB100" s="6" t="inlineStr">
        <is>
          <t>+1 influence, +2 Political. +1 Political for each election you have won. Retraction: draw a card, and you may destroy a Scandal in your hand or discard pile.</t>
        </is>
      </c>
      <c r="AC100" s="6" t="inlineStr">
        <is>
          <t>Douglas repealed the Missouri line to get his railroad, and detonated the party system.</t>
        </is>
      </c>
    </row>
    <row r="101">
      <c r="A101" s="5" t="inlineStr">
        <is>
          <t>ostend_manifesto</t>
        </is>
      </c>
      <c r="B101" s="6" t="inlineStr">
        <is>
          <t>The Ostend Manifesto</t>
        </is>
      </c>
      <c r="C101" s="5" t="inlineStr">
        <is>
          <t>Negative story</t>
        </is>
      </c>
      <c r="D101" s="5" t="inlineStr">
        <is>
          <t>Economic</t>
        </is>
      </c>
      <c r="E101" s="5" t="n">
        <v>4</v>
      </c>
      <c r="F101" s="5" t="n">
        <v>0</v>
      </c>
      <c r="G101" s="5" t="n">
        <v>1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inlineStr">
        <is>
          <t>scandal</t>
        </is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/>
      <c r="Y101" s="5" t="n">
        <v>1856</v>
      </c>
      <c r="Z101" s="5" t="n">
        <v>1854</v>
      </c>
      <c r="AA101" s="5" t="n">
        <v>1</v>
      </c>
      <c r="AB101" s="6" t="inlineStr">
        <is>
          <t>+1 influence, +1 Economic. Attack: each rival paper gains a Scandal; +1 influence if it hits any of them. Worth no prestige.</t>
        </is>
      </c>
      <c r="AC101" s="6" t="inlineStr">
        <is>
          <t>Three ministers abroad proposed simply taking Cuba, and someone leaked it.</t>
        </is>
      </c>
    </row>
    <row r="102">
      <c r="A102" s="5" t="inlineStr">
        <is>
          <t>personal_liberty_laws</t>
        </is>
      </c>
      <c r="B102" s="6" t="inlineStr">
        <is>
          <t>The Personal Liberty Laws</t>
        </is>
      </c>
      <c r="C102" s="5" t="inlineStr">
        <is>
          <t>Social story</t>
        </is>
      </c>
      <c r="D102" s="5" t="inlineStr">
        <is>
          <t>Social</t>
        </is>
      </c>
      <c r="E102" s="5" t="n">
        <v>4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2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1</v>
      </c>
      <c r="P102" s="5" t="n">
        <v>0</v>
      </c>
      <c r="Q102" s="5" t="n">
        <v>0</v>
      </c>
      <c r="R102" s="5" t="n"/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/>
      <c r="Y102" s="5" t="n">
        <v>1856</v>
      </c>
      <c r="Z102" s="5" t="n">
        <v>1855</v>
      </c>
      <c r="AA102" s="5" t="n">
        <v>1</v>
      </c>
      <c r="AB102" s="6" t="inlineStr">
        <is>
          <t>+2 Social, draw 1 card. If you play another Social story this turn, +1 influence.</t>
        </is>
      </c>
      <c r="AC102" s="6" t="inlineStr">
        <is>
          <t>Northern states nullifying a federal statute, which the South noticed with interest.</t>
        </is>
      </c>
    </row>
    <row r="103">
      <c r="A103" s="5" t="inlineStr">
        <is>
          <t>bleeding_kansas</t>
        </is>
      </c>
      <c r="B103" s="6" t="inlineStr">
        <is>
          <t>Bleeding Kansas</t>
        </is>
      </c>
      <c r="C103" s="5" t="inlineStr">
        <is>
          <t>Negative story</t>
        </is>
      </c>
      <c r="D103" s="5" t="inlineStr">
        <is>
          <t>Political</t>
        </is>
      </c>
      <c r="E103" s="5" t="n">
        <v>5</v>
      </c>
      <c r="F103" s="5" t="n">
        <v>0</v>
      </c>
      <c r="G103" s="5" t="n">
        <v>2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inlineStr">
        <is>
          <t>scandal</t>
        </is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/>
      <c r="Y103" s="5" t="n">
        <v>1856</v>
      </c>
      <c r="Z103" s="5" t="n">
        <v>1856</v>
      </c>
      <c r="AA103" s="5" t="n">
        <v>1</v>
      </c>
      <c r="AB103" s="6" t="inlineStr">
        <is>
          <t>+2 influence, +1 Political. Attack: each rival paper gains a Scandal; +1 influence if it hits any of them. Worth no prestige.</t>
        </is>
      </c>
      <c r="AC103" s="6" t="inlineStr">
        <is>
          <t>Two territorial governments, two constitutions, and a body count. Circulation soared.</t>
        </is>
      </c>
    </row>
    <row r="104">
      <c r="A104" s="5" t="inlineStr">
        <is>
          <t>sumner_caning</t>
        </is>
      </c>
      <c r="B104" s="6" t="inlineStr">
        <is>
          <t>The Caning of Charles Sumner</t>
        </is>
      </c>
      <c r="C104" s="5" t="inlineStr">
        <is>
          <t>Negative story</t>
        </is>
      </c>
      <c r="D104" s="5" t="inlineStr">
        <is>
          <t>Social</t>
        </is>
      </c>
      <c r="E104" s="5" t="n">
        <v>5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1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inlineStr">
        <is>
          <t>scandal</t>
        </is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/>
      <c r="Y104" s="5" t="n">
        <v>1856</v>
      </c>
      <c r="Z104" s="5" t="n">
        <v>1856</v>
      </c>
      <c r="AA104" s="5" t="n">
        <v>1</v>
      </c>
      <c r="AB104" s="6" t="inlineStr">
        <is>
          <t>+2 influence, +1 Social. Attack: each rival paper gains a Scandal; +1 influence if it hits any of them. Worth no prestige.</t>
        </is>
      </c>
      <c r="AC104" s="6" t="inlineStr">
        <is>
          <t>Beaten unconscious on the Senate floor. The South sent Brooks replacement canes.</t>
        </is>
      </c>
    </row>
    <row r="105">
      <c r="A105" s="5" t="inlineStr">
        <is>
          <t>filibusters</t>
        </is>
      </c>
      <c r="B105" s="6" t="inlineStr">
        <is>
          <t>The Filibusters</t>
        </is>
      </c>
      <c r="C105" s="5" t="inlineStr">
        <is>
          <t>Negative story</t>
        </is>
      </c>
      <c r="D105" s="5" t="inlineStr">
        <is>
          <t>Economic</t>
        </is>
      </c>
      <c r="E105" s="5" t="n">
        <v>4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inlineStr">
        <is>
          <t>scandal</t>
        </is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/>
      <c r="Y105" s="5" t="n">
        <v>1856</v>
      </c>
      <c r="Z105" s="5" t="n">
        <v>1856</v>
      </c>
      <c r="AA105" s="5" t="n">
        <v>1</v>
      </c>
      <c r="AB105" s="6" t="inlineStr">
        <is>
          <t>+1 influence, +1 Economic. Attack: each rival paper gains a Scandal; +1 influence if it hits any of them. Worth no prestige.</t>
        </is>
      </c>
      <c r="AC105" s="6" t="inlineStr">
        <is>
          <t>Walker took Nicaragua with fifty-eight men and reinstated slavery there.</t>
        </is>
      </c>
    </row>
    <row r="106">
      <c r="A106" s="5" t="inlineStr">
        <is>
          <t>dred_scott</t>
        </is>
      </c>
      <c r="B106" s="6" t="inlineStr">
        <is>
          <t>Dred Scott v. Sandford</t>
        </is>
      </c>
      <c r="C106" s="5" t="inlineStr">
        <is>
          <t>Economic story</t>
        </is>
      </c>
      <c r="D106" s="5" t="inlineStr">
        <is>
          <t>Economic</t>
        </is>
      </c>
      <c r="E106" s="5" t="n">
        <v>4</v>
      </c>
      <c r="F106" s="5" t="n">
        <v>1</v>
      </c>
      <c r="G106" s="5" t="n">
        <v>2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/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/>
      <c r="Y106" s="5" t="n">
        <v>1860</v>
      </c>
      <c r="Z106" s="5" t="n">
        <v>1857</v>
      </c>
      <c r="AA106" s="5" t="n">
        <v>1</v>
      </c>
      <c r="AB106" s="6" t="inlineStr">
        <is>
          <t>+2 influence, +1 Economic. +1 influence for each other Economic story you play this turn.</t>
        </is>
      </c>
      <c r="AC106" s="6" t="inlineStr">
        <is>
          <t>No rights which the white man was bound to respect, and Congress powerless in the territories.</t>
        </is>
      </c>
    </row>
    <row r="107">
      <c r="A107" s="5" t="inlineStr">
        <is>
          <t>lecompton_constitution</t>
        </is>
      </c>
      <c r="B107" s="6" t="inlineStr">
        <is>
          <t>The Lecompton Constitution</t>
        </is>
      </c>
      <c r="C107" s="5" t="inlineStr">
        <is>
          <t>Negative story</t>
        </is>
      </c>
      <c r="D107" s="5" t="inlineStr">
        <is>
          <t>Political</t>
        </is>
      </c>
      <c r="E107" s="5" t="n">
        <v>4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inlineStr">
        <is>
          <t>scandal</t>
        </is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/>
      <c r="Y107" s="5" t="n">
        <v>1860</v>
      </c>
      <c r="Z107" s="5" t="n">
        <v>1857</v>
      </c>
      <c r="AA107" s="5" t="n">
        <v>1</v>
      </c>
      <c r="AB107" s="6" t="inlineStr">
        <is>
          <t>+1 influence, +1 Political. Attack: each rival paper gains a Scandal; +1 influence if it hits any of them. Worth no prestige.</t>
        </is>
      </c>
      <c r="AC107" s="6" t="inlineStr">
        <is>
          <t>A proslavery constitution written by a minority, which split the Democratic party in two.</t>
        </is>
      </c>
    </row>
    <row r="108">
      <c r="A108" s="5" t="inlineStr">
        <is>
          <t>freeport_doctrine</t>
        </is>
      </c>
      <c r="B108" s="6" t="inlineStr">
        <is>
          <t>The Freeport Doctrine</t>
        </is>
      </c>
      <c r="C108" s="5" t="inlineStr">
        <is>
          <t>Political story</t>
        </is>
      </c>
      <c r="D108" s="5" t="inlineStr">
        <is>
          <t>Political</t>
        </is>
      </c>
      <c r="E108" s="5" t="n">
        <v>5</v>
      </c>
      <c r="F108" s="5" t="n">
        <v>1</v>
      </c>
      <c r="G108" s="5" t="n">
        <v>2</v>
      </c>
      <c r="H108" s="5" t="n">
        <v>2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/>
      <c r="S108" s="5" t="n">
        <v>0</v>
      </c>
      <c r="T108" s="5" t="n">
        <v>1</v>
      </c>
      <c r="U108" s="5" t="n">
        <v>0</v>
      </c>
      <c r="V108" s="5" t="n">
        <v>0</v>
      </c>
      <c r="W108" s="5" t="n">
        <v>0</v>
      </c>
      <c r="X108" s="5" t="n"/>
      <c r="Y108" s="5" t="n">
        <v>1860</v>
      </c>
      <c r="Z108" s="5" t="n">
        <v>1858</v>
      </c>
      <c r="AA108" s="5" t="n">
        <v>1</v>
      </c>
      <c r="AB108" s="6" t="inlineStr">
        <is>
          <t>+2 influence, +2 Political, +2 Campaign (elections only). Retraction: draw a card, and you may destroy a Scandal in your hand or discard pile.</t>
        </is>
      </c>
      <c r="AC108" s="6" t="inlineStr">
        <is>
          <t>Douglas held that a territory could exclude slavery by simply declining to police it. It cost him the South.</t>
        </is>
      </c>
    </row>
    <row r="109">
      <c r="A109" s="5" t="inlineStr">
        <is>
          <t>lincoln_douglas</t>
        </is>
      </c>
      <c r="B109" s="6" t="inlineStr">
        <is>
          <t>The Lincoln-Douglas Debates</t>
        </is>
      </c>
      <c r="C109" s="5" t="inlineStr">
        <is>
          <t>Political story</t>
        </is>
      </c>
      <c r="D109" s="5" t="inlineStr">
        <is>
          <t>Political</t>
        </is>
      </c>
      <c r="E109" s="5" t="n">
        <v>6</v>
      </c>
      <c r="F109" s="5" t="n">
        <v>2</v>
      </c>
      <c r="G109" s="5" t="n">
        <v>2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/>
      <c r="S109" s="5" t="n">
        <v>0</v>
      </c>
      <c r="T109" s="5" t="n">
        <v>1</v>
      </c>
      <c r="U109" s="5" t="n">
        <v>0</v>
      </c>
      <c r="V109" s="5" t="n">
        <v>0</v>
      </c>
      <c r="W109" s="5" t="n">
        <v>0</v>
      </c>
      <c r="X109" s="5" t="n"/>
      <c r="Y109" s="5" t="n">
        <v>1860</v>
      </c>
      <c r="Z109" s="5" t="n">
        <v>1858</v>
      </c>
      <c r="AA109" s="5" t="n">
        <v>1</v>
      </c>
      <c r="AB109" s="6" t="inlineStr">
        <is>
          <t>+2 influence, +3 Political. +1 Political for each election you have won. Retraction: draw a card, and you may destroy a Scandal in your hand or discard pile.</t>
        </is>
      </c>
      <c r="AC109" s="6" t="inlineStr">
        <is>
          <t>Seven towns, three hours each, printed verbatim in every paper in the country. Including yours.</t>
        </is>
      </c>
    </row>
    <row r="110">
      <c r="A110" s="5" t="inlineStr">
        <is>
          <t>ableman_v_booth</t>
        </is>
      </c>
      <c r="B110" s="6" t="inlineStr">
        <is>
          <t>Ableman v. Booth</t>
        </is>
      </c>
      <c r="C110" s="5" t="inlineStr">
        <is>
          <t>Social story</t>
        </is>
      </c>
      <c r="D110" s="5" t="inlineStr">
        <is>
          <t>Social</t>
        </is>
      </c>
      <c r="E110" s="5" t="n">
        <v>3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/>
      <c r="S110" s="5" t="n">
        <v>1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/>
      <c r="Y110" s="5" t="n">
        <v>1860</v>
      </c>
      <c r="Z110" s="5" t="n">
        <v>1859</v>
      </c>
      <c r="AA110" s="5" t="n">
        <v>1</v>
      </c>
      <c r="AB110" s="6" t="inlineStr">
        <is>
          <t>+1 Social, draw 1 card. If you play another Social story this turn, +1 influence. Defense: discard this from your hand to ignore a negative story, and draw a card.</t>
        </is>
      </c>
      <c r="AC110" s="6" t="inlineStr">
        <is>
          <t>Taney told Wisconsin that no state court could overrule a federal one.</t>
        </is>
      </c>
    </row>
    <row r="111">
      <c r="A111" s="5" t="inlineStr">
        <is>
          <t>john_browns_raid</t>
        </is>
      </c>
      <c r="B111" s="6" t="inlineStr">
        <is>
          <t>John Brown at Harpers Ferry</t>
        </is>
      </c>
      <c r="C111" s="5" t="inlineStr">
        <is>
          <t>Negative story</t>
        </is>
      </c>
      <c r="D111" s="5" t="inlineStr">
        <is>
          <t>Social</t>
        </is>
      </c>
      <c r="E111" s="5" t="n">
        <v>5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1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inlineStr">
        <is>
          <t>scandal</t>
        </is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/>
      <c r="Y111" s="5" t="n">
        <v>1860</v>
      </c>
      <c r="Z111" s="5" t="n">
        <v>1859</v>
      </c>
      <c r="AA111" s="5" t="n">
        <v>1</v>
      </c>
      <c r="AB111" s="6" t="inlineStr">
        <is>
          <t>+2 influence, +1 Social. Attack: each rival paper gains a Scandal; +1 influence if it hits any of them. Worth no prestige.</t>
        </is>
      </c>
      <c r="AC111" s="6" t="inlineStr">
        <is>
          <t>A martyr or a murderer, and no paper in the country could avoid choosing.</t>
        </is>
      </c>
    </row>
  </sheetData>
  <autoFilter ref="A1:AC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8" customWidth="1" min="4" max="4"/>
    <col width="11" customWidth="1" min="5" max="5"/>
    <col width="18" customWidth="1" min="6" max="6"/>
    <col width="18" customWidth="1" min="7" max="7"/>
    <col width="18" customWidth="1" min="8" max="8"/>
    <col width="22" customWidth="1" min="9" max="9"/>
    <col width="15" customWidth="1" min="10" max="10"/>
    <col width="18" customWidth="1" min="11" max="11"/>
    <col width="22" customWidth="1" min="12" max="12"/>
    <col width="15" customWidth="1" min="13" max="13"/>
    <col width="18" customWidth="1" min="14" max="14"/>
    <col width="18" customWidth="1" min="15" max="15"/>
    <col width="9" customWidth="1" min="16" max="16"/>
    <col width="10" customWidth="1" min="17" max="17"/>
    <col width="15" customWidth="1" min="18" max="18"/>
    <col width="14" customWidth="1" min="19" max="19"/>
    <col width="12" customWidth="1" min="20" max="20"/>
    <col width="13" customWidth="1" min="21" max="21"/>
    <col width="9" customWidth="1" min="22" max="22"/>
    <col width="13" customWidth="1" min="23" max="23"/>
    <col width="11" customWidth="1" min="24" max="24"/>
    <col width="50" customWidth="1" min="25" max="25"/>
    <col width="10" customWidth="1" min="26" max="26"/>
    <col width="8" customWidth="1" min="27" max="27"/>
    <col width="24" customWidth="1" min="28" max="28"/>
    <col width="45" customWidth="1" min="29" max="29"/>
    <col width="60" customWidth="1" min="30" max="30"/>
  </cols>
  <sheetData>
    <row r="1" ht="30" customHeight="1">
      <c r="A1" s="4" t="inlineStr">
        <is>
          <t>space</t>
        </is>
      </c>
      <c r="B1" s="4" t="inlineStr">
        <is>
          <t>year</t>
        </is>
      </c>
      <c r="C1" s="4" t="inlineStr">
        <is>
          <t>era</t>
        </is>
      </c>
      <c r="D1" s="4" t="inlineStr">
        <is>
          <t>card_name</t>
        </is>
      </c>
      <c r="E1" s="4" t="inlineStr">
        <is>
          <t>Prestige</t>
        </is>
      </c>
      <c r="F1" s="4" t="inlineStr">
        <is>
          <t>Prestige per office</t>
        </is>
      </c>
      <c r="G1" s="4" t="inlineStr">
        <is>
          <t>Influence (plain)</t>
        </is>
      </c>
      <c r="H1" s="4" t="inlineStr">
        <is>
          <t>Candidate-theme influence</t>
        </is>
      </c>
      <c r="I1" s="4" t="inlineStr">
        <is>
          <t>nation</t>
        </is>
      </c>
      <c r="J1" s="4" t="inlineStr">
        <is>
          <t>nation_theme</t>
        </is>
      </c>
      <c r="K1" s="4" t="inlineStr">
        <is>
          <t>nation_threshold</t>
        </is>
      </c>
      <c r="L1" s="4" t="inlineStr">
        <is>
          <t>states</t>
        </is>
      </c>
      <c r="M1" s="4" t="inlineStr">
        <is>
          <t>states_theme</t>
        </is>
      </c>
      <c r="N1" s="4" t="inlineStr">
        <is>
          <t>states_threshold</t>
        </is>
      </c>
      <c r="O1" s="4" t="inlineStr">
        <is>
          <t>historical_winner</t>
        </is>
      </c>
      <c r="P1" s="4" t="inlineStr">
        <is>
          <t>p_draw</t>
        </is>
      </c>
      <c r="Q1" s="4" t="inlineStr">
        <is>
          <t>p_trash</t>
        </is>
      </c>
      <c r="R1" s="4" t="inlineStr">
        <is>
          <t>p_trash_draw</t>
        </is>
      </c>
      <c r="S1" s="4" t="inlineStr">
        <is>
          <t>p_gain_upto</t>
        </is>
      </c>
      <c r="T1" s="4" t="inlineStr">
        <is>
          <t>p_recover</t>
        </is>
      </c>
      <c r="U1" s="4" t="inlineStr">
        <is>
          <t>p_per_kind</t>
        </is>
      </c>
      <c r="V1" s="4" t="inlineStr">
        <is>
          <t>p_scry</t>
        </is>
      </c>
      <c r="W1" s="4" t="inlineStr">
        <is>
          <t>p_stay_gen</t>
        </is>
      </c>
      <c r="X1" s="4" t="inlineStr">
        <is>
          <t>p_attack</t>
        </is>
      </c>
      <c r="Y1" s="4" t="inlineStr">
        <is>
          <t>power_text</t>
        </is>
      </c>
      <c r="Z1" s="4" t="inlineStr">
        <is>
          <t>fa_kind</t>
        </is>
      </c>
      <c r="AA1" s="4" t="inlineStr">
        <is>
          <t>fa_n</t>
        </is>
      </c>
      <c r="AB1" s="4" t="inlineStr">
        <is>
          <t>fa_name</t>
        </is>
      </c>
      <c r="AC1" s="4" t="inlineStr">
        <is>
          <t>fa_text</t>
        </is>
      </c>
      <c r="AD1" s="4" t="inlineStr">
        <is>
          <t>card_text</t>
        </is>
      </c>
    </row>
    <row r="2">
      <c r="A2" s="5" t="n">
        <v>1</v>
      </c>
      <c r="B2" s="5" t="n">
        <v>1796</v>
      </c>
      <c r="C2" s="5" t="inlineStr">
        <is>
          <t>I</t>
        </is>
      </c>
      <c r="D2" s="6" t="inlineStr">
        <is>
          <t>The Farewell Address</t>
        </is>
      </c>
      <c r="E2" s="5" t="n">
        <v>3</v>
      </c>
      <c r="F2" s="5" t="n">
        <v>0</v>
      </c>
      <c r="G2" s="5" t="n">
        <v>2</v>
      </c>
      <c r="H2" s="5" t="n">
        <v>2</v>
      </c>
      <c r="I2" s="6" t="inlineStr">
        <is>
          <t>John Adams</t>
        </is>
      </c>
      <c r="J2" s="5" t="inlineStr">
        <is>
          <t>Political</t>
        </is>
      </c>
      <c r="K2" s="5" t="n">
        <v>8</v>
      </c>
      <c r="L2" s="6" t="inlineStr">
        <is>
          <t>Thomas Jefferson</t>
        </is>
      </c>
      <c r="M2" s="5" t="inlineStr">
        <is>
          <t>Social</t>
        </is>
      </c>
      <c r="N2" s="5" t="n">
        <v>10</v>
      </c>
      <c r="O2" s="5" t="inlineStr">
        <is>
          <t>nation</t>
        </is>
      </c>
      <c r="P2" s="5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/>
      <c r="Y2" s="6" t="inlineStr">
        <is>
          <t>+2 influence, draw a card.</t>
        </is>
      </c>
      <c r="Z2" s="5" t="n"/>
      <c r="AA2" s="5" t="n">
        <v>0</v>
      </c>
      <c r="AB2" s="6" t="n"/>
      <c r="AC2" s="6" t="n"/>
      <c r="AD2" s="6" t="inlineStr">
        <is>
          <t>+2 influence, draw a card. Also +2 of the elected candidate's theme. Worth 3 prestige.</t>
        </is>
      </c>
    </row>
    <row r="3">
      <c r="A3" s="5" t="n">
        <v>2</v>
      </c>
      <c r="B3" s="5" t="n">
        <v>1800</v>
      </c>
      <c r="C3" s="5" t="inlineStr">
        <is>
          <t>I</t>
        </is>
      </c>
      <c r="D3" s="6" t="inlineStr">
        <is>
          <t>The Revolution of 1800</t>
        </is>
      </c>
      <c r="E3" s="5" t="n">
        <v>3</v>
      </c>
      <c r="F3" s="5" t="n">
        <v>0</v>
      </c>
      <c r="G3" s="5" t="n">
        <v>2</v>
      </c>
      <c r="H3" s="5" t="n">
        <v>2</v>
      </c>
      <c r="I3" s="6" t="inlineStr">
        <is>
          <t>John Adams</t>
        </is>
      </c>
      <c r="J3" s="5" t="inlineStr">
        <is>
          <t>Social</t>
        </is>
      </c>
      <c r="K3" s="5" t="n">
        <v>10</v>
      </c>
      <c r="L3" s="6" t="inlineStr">
        <is>
          <t>Thomas Jefferson</t>
        </is>
      </c>
      <c r="M3" s="5" t="inlineStr">
        <is>
          <t>Political</t>
        </is>
      </c>
      <c r="N3" s="5" t="n">
        <v>8</v>
      </c>
      <c r="O3" s="5" t="inlineStr">
        <is>
          <t>states</t>
        </is>
      </c>
      <c r="P3" s="5" t="n">
        <v>2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/>
      <c r="Y3" s="6" t="inlineStr">
        <is>
          <t>+2 influence, draw 2 cards, then you may destroy a card in your hand or discard pile.</t>
        </is>
      </c>
      <c r="Z3" s="5" t="inlineStr">
        <is>
          <t>discard_leader</t>
        </is>
      </c>
      <c r="AA3" s="5" t="n">
        <v>1</v>
      </c>
      <c r="AB3" s="6" t="inlineStr">
        <is>
          <t>The Sedition Act</t>
        </is>
      </c>
      <c r="AC3" s="6" t="inlineStr">
        <is>
          <t>The paper (or papers) holding the most offices discards a card at random.</t>
        </is>
      </c>
      <c r="AD3" s="6" t="inlineStr">
        <is>
          <t>+2 influence, draw 2 cards, then you may destroy a card in your hand or discard pile. Also +2 of the elected candidate's theme. Worth 3 prestige.</t>
        </is>
      </c>
    </row>
    <row r="4">
      <c r="A4" s="5" t="n">
        <v>3</v>
      </c>
      <c r="B4" s="5" t="n">
        <v>1804</v>
      </c>
      <c r="C4" s="5" t="inlineStr">
        <is>
          <t>I</t>
        </is>
      </c>
      <c r="D4" s="6" t="inlineStr">
        <is>
          <t>The Louisiana Purchase</t>
        </is>
      </c>
      <c r="E4" s="5" t="n">
        <v>3</v>
      </c>
      <c r="F4" s="5" t="n">
        <v>0</v>
      </c>
      <c r="G4" s="5" t="n">
        <v>2</v>
      </c>
      <c r="H4" s="5" t="n">
        <v>2</v>
      </c>
      <c r="I4" s="6" t="inlineStr">
        <is>
          <t>Thomas Jefferson</t>
        </is>
      </c>
      <c r="J4" s="5" t="inlineStr">
        <is>
          <t>Political</t>
        </is>
      </c>
      <c r="K4" s="5" t="n">
        <v>9</v>
      </c>
      <c r="L4" s="6" t="inlineStr">
        <is>
          <t>Charles C. Pinckney</t>
        </is>
      </c>
      <c r="M4" s="5" t="inlineStr">
        <is>
          <t>Economic</t>
        </is>
      </c>
      <c r="N4" s="5" t="n">
        <v>11</v>
      </c>
      <c r="O4" s="5" t="inlineStr">
        <is>
          <t>nation</t>
        </is>
      </c>
      <c r="P4" s="5" t="n">
        <v>0</v>
      </c>
      <c r="Q4" s="5" t="n">
        <v>0</v>
      </c>
      <c r="R4" s="5" t="n">
        <v>0</v>
      </c>
      <c r="S4" s="5" t="n">
        <v>4</v>
      </c>
      <c r="T4" s="5" t="n">
        <v>0</v>
      </c>
      <c r="U4" s="5" t="n">
        <v>0</v>
      </c>
      <c r="V4" s="5" t="n">
        <v>0</v>
      </c>
      <c r="W4" s="5" t="n">
        <v>0</v>
      </c>
      <c r="X4" s="5" t="n"/>
      <c r="Y4" s="6" t="inlineStr">
        <is>
          <t>+2 influence. Gain a story costing 4 or less from the exchange.</t>
        </is>
      </c>
      <c r="Z4" s="5" t="inlineStr">
        <is>
          <t>draw</t>
        </is>
      </c>
      <c r="AA4" s="5" t="n">
        <v>1</v>
      </c>
      <c r="AB4" s="6" t="inlineStr">
        <is>
          <t>The Twelfth Amendment</t>
        </is>
      </c>
      <c r="AC4" s="6" t="inlineStr">
        <is>
          <t>Each paper draws a card.</t>
        </is>
      </c>
      <c r="AD4" s="6" t="inlineStr">
        <is>
          <t>+2 influence. Gain a story costing 4 or less from the exchange. Also +2 of the elected candidate's theme. Worth 3 prestige.</t>
        </is>
      </c>
    </row>
    <row r="5">
      <c r="A5" s="5" t="n">
        <v>4</v>
      </c>
      <c r="B5" s="5" t="n">
        <v>1808</v>
      </c>
      <c r="C5" s="5" t="inlineStr">
        <is>
          <t>I</t>
        </is>
      </c>
      <c r="D5" s="6" t="inlineStr">
        <is>
          <t>The Embargo</t>
        </is>
      </c>
      <c r="E5" s="5" t="n">
        <v>3</v>
      </c>
      <c r="F5" s="5" t="n">
        <v>0</v>
      </c>
      <c r="G5" s="5" t="n">
        <v>4</v>
      </c>
      <c r="H5" s="5" t="n">
        <v>2</v>
      </c>
      <c r="I5" s="6" t="inlineStr">
        <is>
          <t>James Madison</t>
        </is>
      </c>
      <c r="J5" s="5" t="inlineStr">
        <is>
          <t>Political</t>
        </is>
      </c>
      <c r="K5" s="5" t="n">
        <v>9</v>
      </c>
      <c r="L5" s="6" t="inlineStr">
        <is>
          <t>Charles C. Pinckney</t>
        </is>
      </c>
      <c r="M5" s="5" t="inlineStr">
        <is>
          <t>Economic</t>
        </is>
      </c>
      <c r="N5" s="5" t="n">
        <v>11</v>
      </c>
      <c r="O5" s="5" t="inlineStr">
        <is>
          <t>nation</t>
        </is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/>
      <c r="Y5" s="6" t="inlineStr">
        <is>
          <t>+4 influence.</t>
        </is>
      </c>
      <c r="Z5" s="5" t="inlineStr">
        <is>
          <t>discard_dearest</t>
        </is>
      </c>
      <c r="AA5" s="5" t="n">
        <v>1</v>
      </c>
      <c r="AB5" s="6" t="inlineStr">
        <is>
          <t>The Embargo</t>
        </is>
      </c>
      <c r="AC5" s="6" t="inlineStr">
        <is>
          <t>Each paper discards the most expensive card in its hand.</t>
        </is>
      </c>
      <c r="AD5" s="6" t="inlineStr">
        <is>
          <t>+4 influence. Also +2 of the elected candidate's theme. Worth 3 prestige.</t>
        </is>
      </c>
    </row>
    <row r="6">
      <c r="A6" s="5" t="n">
        <v>5</v>
      </c>
      <c r="B6" s="5" t="n">
        <v>1812</v>
      </c>
      <c r="C6" s="5" t="inlineStr">
        <is>
          <t>I</t>
        </is>
      </c>
      <c r="D6" s="6" t="inlineStr">
        <is>
          <t>Mr. Madison's War</t>
        </is>
      </c>
      <c r="E6" s="5" t="n">
        <v>4</v>
      </c>
      <c r="F6" s="5" t="n">
        <v>0</v>
      </c>
      <c r="G6" s="5" t="n">
        <v>0</v>
      </c>
      <c r="H6" s="5" t="n">
        <v>2</v>
      </c>
      <c r="I6" s="6" t="inlineStr">
        <is>
          <t>James Madison</t>
        </is>
      </c>
      <c r="J6" s="5" t="inlineStr">
        <is>
          <t>Social</t>
        </is>
      </c>
      <c r="K6" s="5" t="n">
        <v>10</v>
      </c>
      <c r="L6" s="6" t="inlineStr">
        <is>
          <t>DeWitt Clinton</t>
        </is>
      </c>
      <c r="M6" s="5" t="inlineStr">
        <is>
          <t>Political</t>
        </is>
      </c>
      <c r="N6" s="5" t="n">
        <v>12</v>
      </c>
      <c r="O6" s="5" t="inlineStr">
        <is>
          <t>nation</t>
        </is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1</v>
      </c>
      <c r="V6" s="5" t="n">
        <v>0</v>
      </c>
      <c r="W6" s="5" t="n">
        <v>0</v>
      </c>
      <c r="X6" s="5" t="n"/>
      <c r="Y6" s="6" t="inlineStr">
        <is>
          <t>+1 influence for each different kind of card you play this turn.</t>
        </is>
      </c>
      <c r="Z6" s="5" t="inlineStr">
        <is>
          <t>scandal_leader</t>
        </is>
      </c>
      <c r="AA6" s="5" t="n">
        <v>1</v>
      </c>
      <c r="AB6" s="6" t="inlineStr">
        <is>
          <t>Impressment</t>
        </is>
      </c>
      <c r="AC6" s="6" t="inlineStr">
        <is>
          <t>The paper (or papers) with the most prestige gains a Scandal.</t>
        </is>
      </c>
      <c r="AD6" s="6" t="inlineStr">
        <is>
          <t>+1 influence for each different kind of card you play this turn. Also +2 of the elected candidate's theme. Worth 4 prestige.</t>
        </is>
      </c>
    </row>
    <row r="7">
      <c r="A7" s="5" t="n">
        <v>6</v>
      </c>
      <c r="B7" s="5" t="n">
        <v>1816</v>
      </c>
      <c r="C7" s="5" t="inlineStr">
        <is>
          <t>I</t>
        </is>
      </c>
      <c r="D7" s="6" t="inlineStr">
        <is>
          <t>Good Feelings</t>
        </is>
      </c>
      <c r="E7" s="5" t="n">
        <v>4</v>
      </c>
      <c r="F7" s="5" t="n">
        <v>0</v>
      </c>
      <c r="G7" s="5" t="n">
        <v>0</v>
      </c>
      <c r="H7" s="5" t="n">
        <v>2</v>
      </c>
      <c r="I7" s="6" t="inlineStr">
        <is>
          <t>James Monroe</t>
        </is>
      </c>
      <c r="J7" s="5" t="inlineStr">
        <is>
          <t>Economic</t>
        </is>
      </c>
      <c r="K7" s="5" t="n">
        <v>10</v>
      </c>
      <c r="L7" s="6" t="inlineStr">
        <is>
          <t>Rufus King</t>
        </is>
      </c>
      <c r="M7" s="5" t="inlineStr">
        <is>
          <t>Social</t>
        </is>
      </c>
      <c r="N7" s="5" t="n">
        <v>12</v>
      </c>
      <c r="O7" s="5" t="inlineStr">
        <is>
          <t>nation</t>
        </is>
      </c>
      <c r="P7" s="5" t="n">
        <v>3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/>
      <c r="Y7" s="6" t="inlineStr">
        <is>
          <t>Draw 3 cards.</t>
        </is>
      </c>
      <c r="Z7" s="5" t="inlineStr">
        <is>
          <t>unscandal</t>
        </is>
      </c>
      <c r="AA7" s="5" t="n">
        <v>1</v>
      </c>
      <c r="AB7" s="6" t="inlineStr">
        <is>
          <t>Good Feelings</t>
        </is>
      </c>
      <c r="AC7" s="6" t="inlineStr">
        <is>
          <t>Each paper destroys a Scandal in its hand or discard pile.</t>
        </is>
      </c>
      <c r="AD7" s="6" t="inlineStr">
        <is>
          <t>Draw 3 cards. Also +2 of the elected candidate's theme. Worth 4 prestige.</t>
        </is>
      </c>
    </row>
    <row r="8">
      <c r="A8" s="5" t="n">
        <v>7</v>
      </c>
      <c r="B8" s="5" t="n">
        <v>1820</v>
      </c>
      <c r="C8" s="5" t="inlineStr">
        <is>
          <t>II</t>
        </is>
      </c>
      <c r="D8" s="6" t="inlineStr">
        <is>
          <t>The Missouri Compromise</t>
        </is>
      </c>
      <c r="E8" s="5" t="n">
        <v>4</v>
      </c>
      <c r="F8" s="5" t="n">
        <v>0</v>
      </c>
      <c r="G8" s="5" t="n">
        <v>0</v>
      </c>
      <c r="H8" s="5" t="n">
        <v>3</v>
      </c>
      <c r="I8" s="6" t="inlineStr">
        <is>
          <t>John Quincy Adams</t>
        </is>
      </c>
      <c r="J8" s="5" t="inlineStr">
        <is>
          <t>Social</t>
        </is>
      </c>
      <c r="K8" s="5" t="n">
        <v>13</v>
      </c>
      <c r="L8" s="6" t="inlineStr">
        <is>
          <t>James Monroe</t>
        </is>
      </c>
      <c r="M8" s="5" t="inlineStr">
        <is>
          <t>Political</t>
        </is>
      </c>
      <c r="N8" s="5" t="n">
        <v>11</v>
      </c>
      <c r="O8" s="5" t="inlineStr">
        <is>
          <t>states</t>
        </is>
      </c>
      <c r="P8" s="5" t="n">
        <v>0</v>
      </c>
      <c r="Q8" s="5" t="n">
        <v>2</v>
      </c>
      <c r="R8" s="5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/>
      <c r="Y8" s="6" t="inlineStr">
        <is>
          <t>Destroy up to 2 cards in your hand or discard pile; draw a card for each.</t>
        </is>
      </c>
      <c r="Z8" s="5" t="inlineStr">
        <is>
          <t>discard_leader</t>
        </is>
      </c>
      <c r="AA8" s="5" t="n">
        <v>1</v>
      </c>
      <c r="AB8" s="6" t="inlineStr">
        <is>
          <t>A Fire Bell in the Night</t>
        </is>
      </c>
      <c r="AC8" s="6" t="inlineStr">
        <is>
          <t>The paper (or papers) holding the most offices discards a card at random.</t>
        </is>
      </c>
      <c r="AD8" s="6" t="inlineStr">
        <is>
          <t>Destroy up to 2 cards in your hand or discard pile; draw a card for each. Also +3 of the elected candidate's theme. Worth 4 prestige.</t>
        </is>
      </c>
    </row>
    <row r="9">
      <c r="A9" s="5" t="n">
        <v>8</v>
      </c>
      <c r="B9" s="5" t="n">
        <v>1824</v>
      </c>
      <c r="C9" s="5" t="inlineStr">
        <is>
          <t>II</t>
        </is>
      </c>
      <c r="D9" s="6" t="inlineStr">
        <is>
          <t>The Corrupt Bargain</t>
        </is>
      </c>
      <c r="E9" s="5" t="n">
        <v>4</v>
      </c>
      <c r="F9" s="5" t="n">
        <v>0</v>
      </c>
      <c r="G9" s="5" t="n">
        <v>0</v>
      </c>
      <c r="H9" s="5" t="n">
        <v>3</v>
      </c>
      <c r="I9" s="6" t="inlineStr">
        <is>
          <t>John Quincy Adams</t>
        </is>
      </c>
      <c r="J9" s="5" t="inlineStr">
        <is>
          <t>Social</t>
        </is>
      </c>
      <c r="K9" s="5" t="n">
        <v>11</v>
      </c>
      <c r="L9" s="6" t="inlineStr">
        <is>
          <t>Andrew Jackson</t>
        </is>
      </c>
      <c r="M9" s="5" t="inlineStr">
        <is>
          <t>Political</t>
        </is>
      </c>
      <c r="N9" s="5" t="n">
        <v>13</v>
      </c>
      <c r="O9" s="5" t="inlineStr">
        <is>
          <t>nation</t>
        </is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2</v>
      </c>
      <c r="U9" s="5" t="n">
        <v>0</v>
      </c>
      <c r="V9" s="5" t="n">
        <v>0</v>
      </c>
      <c r="W9" s="5" t="n">
        <v>0</v>
      </c>
      <c r="X9" s="5" t="n"/>
      <c r="Y9" s="6" t="inlineStr">
        <is>
          <t>Put up to 2 cards from your discard pile into your hand.</t>
        </is>
      </c>
      <c r="Z9" s="5" t="inlineStr">
        <is>
          <t>scandal_leader</t>
        </is>
      </c>
      <c r="AA9" s="5" t="n">
        <v>1</v>
      </c>
      <c r="AB9" s="6" t="inlineStr">
        <is>
          <t>The Corrupt Bargain</t>
        </is>
      </c>
      <c r="AC9" s="6" t="inlineStr">
        <is>
          <t>The paper (or papers) with the most prestige gains a Scandal.</t>
        </is>
      </c>
      <c r="AD9" s="6" t="inlineStr">
        <is>
          <t>Put up to 2 cards from your discard pile into your hand. Also +3 of the elected candidate's theme. Worth 4 prestige.</t>
        </is>
      </c>
    </row>
    <row r="10">
      <c r="A10" s="5" t="n">
        <v>9</v>
      </c>
      <c r="B10" s="5" t="n">
        <v>1828</v>
      </c>
      <c r="C10" s="5" t="inlineStr">
        <is>
          <t>II</t>
        </is>
      </c>
      <c r="D10" s="6" t="inlineStr">
        <is>
          <t>The Tariff of Abominations</t>
        </is>
      </c>
      <c r="E10" s="5" t="n">
        <v>5</v>
      </c>
      <c r="F10" s="5" t="n">
        <v>0</v>
      </c>
      <c r="G10" s="5" t="n">
        <v>3</v>
      </c>
      <c r="H10" s="5" t="n">
        <v>3</v>
      </c>
      <c r="I10" s="6" t="inlineStr">
        <is>
          <t>John Quincy Adams</t>
        </is>
      </c>
      <c r="J10" s="5" t="inlineStr">
        <is>
          <t>Economic</t>
        </is>
      </c>
      <c r="K10" s="5" t="n">
        <v>14</v>
      </c>
      <c r="L10" s="6" t="inlineStr">
        <is>
          <t>Andrew Jackson</t>
        </is>
      </c>
      <c r="M10" s="5" t="inlineStr">
        <is>
          <t>Social</t>
        </is>
      </c>
      <c r="N10" s="5" t="n">
        <v>12</v>
      </c>
      <c r="O10" s="5" t="inlineStr">
        <is>
          <t>states</t>
        </is>
      </c>
      <c r="P10" s="5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/>
      <c r="Y10" s="6" t="inlineStr">
        <is>
          <t>+3 influence, draw a card.</t>
        </is>
      </c>
      <c r="Z10" s="5" t="inlineStr">
        <is>
          <t>scandal_leader</t>
        </is>
      </c>
      <c r="AA10" s="5" t="n">
        <v>1</v>
      </c>
      <c r="AB10" s="6" t="inlineStr">
        <is>
          <t>Mudslinging</t>
        </is>
      </c>
      <c r="AC10" s="6" t="inlineStr">
        <is>
          <t>The paper (or papers) with the most prestige gains a Scandal.</t>
        </is>
      </c>
      <c r="AD10" s="6" t="inlineStr">
        <is>
          <t>+3 influence, draw a card. Also +3 of the elected candidate's theme. Worth 5 prestige.</t>
        </is>
      </c>
    </row>
    <row r="11">
      <c r="A11" s="5" t="n">
        <v>10</v>
      </c>
      <c r="B11" s="5" t="n">
        <v>1832</v>
      </c>
      <c r="C11" s="5" t="inlineStr">
        <is>
          <t>II</t>
        </is>
      </c>
      <c r="D11" s="6" t="inlineStr">
        <is>
          <t>The Bank War</t>
        </is>
      </c>
      <c r="E11" s="5" t="n">
        <v>5</v>
      </c>
      <c r="F11" s="5" t="n">
        <v>0</v>
      </c>
      <c r="G11" s="5" t="n">
        <v>0</v>
      </c>
      <c r="H11" s="5" t="n">
        <v>3</v>
      </c>
      <c r="I11" s="6" t="inlineStr">
        <is>
          <t>Henry Clay</t>
        </is>
      </c>
      <c r="J11" s="5" t="inlineStr">
        <is>
          <t>Economic</t>
        </is>
      </c>
      <c r="K11" s="5" t="n">
        <v>14</v>
      </c>
      <c r="L11" s="6" t="inlineStr">
        <is>
          <t>Andrew Jackson</t>
        </is>
      </c>
      <c r="M11" s="5" t="inlineStr">
        <is>
          <t>Social</t>
        </is>
      </c>
      <c r="N11" s="5" t="n">
        <v>12</v>
      </c>
      <c r="O11" s="5" t="inlineStr">
        <is>
          <t>states</t>
        </is>
      </c>
      <c r="P11" s="5" t="n">
        <v>1</v>
      </c>
      <c r="Q11" s="5" t="n">
        <v>0</v>
      </c>
      <c r="R11" s="5" t="n">
        <v>0</v>
      </c>
      <c r="S11" s="5" t="n">
        <v>6</v>
      </c>
      <c r="T11" s="5" t="n">
        <v>0</v>
      </c>
      <c r="U11" s="5" t="n">
        <v>0</v>
      </c>
      <c r="V11" s="5" t="n">
        <v>0</v>
      </c>
      <c r="W11" s="5" t="n">
        <v>0</v>
      </c>
      <c r="X11" s="5" t="n"/>
      <c r="Y11" s="6" t="inlineStr">
        <is>
          <t>Gain a story costing 6 or less from the exchange. Draw a card.</t>
        </is>
      </c>
      <c r="Z11" s="5" t="inlineStr">
        <is>
          <t>sweep</t>
        </is>
      </c>
      <c r="AA11" s="5" t="n">
        <v>1</v>
      </c>
      <c r="AB11" s="6" t="inlineStr">
        <is>
          <t>The Veto</t>
        </is>
      </c>
      <c r="AC11" s="6" t="inlineStr">
        <is>
          <t>The exchange is swept and dealt afresh.</t>
        </is>
      </c>
      <c r="AD11" s="6" t="inlineStr">
        <is>
          <t>Gain a story costing 6 or less from the exchange. Draw a card. Also +3 of the elected candidate's theme. Worth 5 prestige.</t>
        </is>
      </c>
    </row>
    <row r="12">
      <c r="A12" s="5" t="n">
        <v>11</v>
      </c>
      <c r="B12" s="5" t="n">
        <v>1836</v>
      </c>
      <c r="C12" s="5" t="inlineStr">
        <is>
          <t>II</t>
        </is>
      </c>
      <c r="D12" s="6" t="inlineStr">
        <is>
          <t>The Specie Circular</t>
        </is>
      </c>
      <c r="E12" s="5" t="n">
        <v>5</v>
      </c>
      <c r="F12" s="5" t="n">
        <v>0</v>
      </c>
      <c r="G12" s="5" t="n">
        <v>3</v>
      </c>
      <c r="H12" s="5" t="n">
        <v>3</v>
      </c>
      <c r="I12" s="6" t="inlineStr">
        <is>
          <t>William Henry Harrison</t>
        </is>
      </c>
      <c r="J12" s="5" t="inlineStr">
        <is>
          <t>Political</t>
        </is>
      </c>
      <c r="K12" s="5" t="n">
        <v>15</v>
      </c>
      <c r="L12" s="6" t="inlineStr">
        <is>
          <t>Martin Van Buren</t>
        </is>
      </c>
      <c r="M12" s="5" t="inlineStr">
        <is>
          <t>Economic</t>
        </is>
      </c>
      <c r="N12" s="5" t="n">
        <v>13</v>
      </c>
      <c r="O12" s="5" t="inlineStr">
        <is>
          <t>states</t>
        </is>
      </c>
      <c r="P12" s="5" t="n">
        <v>2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/>
      <c r="Y12" s="6" t="inlineStr">
        <is>
          <t>+3 influence, draw 2 cards.</t>
        </is>
      </c>
      <c r="Z12" s="5" t="inlineStr">
        <is>
          <t>discard_leader</t>
        </is>
      </c>
      <c r="AA12" s="5" t="n">
        <v>2</v>
      </c>
      <c r="AB12" s="6" t="inlineStr">
        <is>
          <t>The Panic of 1837</t>
        </is>
      </c>
      <c r="AC12" s="6" t="inlineStr">
        <is>
          <t>The paper (or papers) holding the most offices discards 2 cards at random.</t>
        </is>
      </c>
      <c r="AD12" s="6" t="inlineStr">
        <is>
          <t>+3 influence, draw 2 cards. Also +3 of the elected candidate's theme. Worth 5 prestige.</t>
        </is>
      </c>
    </row>
    <row r="13">
      <c r="A13" s="5" t="n">
        <v>12</v>
      </c>
      <c r="B13" s="5" t="n">
        <v>1840</v>
      </c>
      <c r="C13" s="5" t="inlineStr">
        <is>
          <t>II</t>
        </is>
      </c>
      <c r="D13" s="6" t="inlineStr">
        <is>
          <t>Log Cabin and Hard Cider</t>
        </is>
      </c>
      <c r="E13" s="5" t="n">
        <v>5</v>
      </c>
      <c r="F13" s="5" t="n">
        <v>0</v>
      </c>
      <c r="G13" s="5" t="n">
        <v>4</v>
      </c>
      <c r="H13" s="5" t="n">
        <v>3</v>
      </c>
      <c r="I13" s="6" t="inlineStr">
        <is>
          <t>William Henry Harrison</t>
        </is>
      </c>
      <c r="J13" s="5" t="inlineStr">
        <is>
          <t>Social</t>
        </is>
      </c>
      <c r="K13" s="5" t="n">
        <v>13</v>
      </c>
      <c r="L13" s="6" t="inlineStr">
        <is>
          <t>Martin Van Buren</t>
        </is>
      </c>
      <c r="M13" s="5" t="inlineStr">
        <is>
          <t>Economic</t>
        </is>
      </c>
      <c r="N13" s="5" t="n">
        <v>15</v>
      </c>
      <c r="O13" s="5" t="inlineStr">
        <is>
          <t>nation</t>
        </is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/>
      <c r="Y13" s="6" t="inlineStr">
        <is>
          <t>+4 influence.</t>
        </is>
      </c>
      <c r="Z13" s="5" t="inlineStr">
        <is>
          <t>draw</t>
        </is>
      </c>
      <c r="AA13" s="5" t="n">
        <v>1</v>
      </c>
      <c r="AB13" s="6" t="inlineStr">
        <is>
          <t>Tippecanoe and Tyler Too</t>
        </is>
      </c>
      <c r="AC13" s="6" t="inlineStr">
        <is>
          <t>Each paper draws a card.</t>
        </is>
      </c>
      <c r="AD13" s="6" t="inlineStr">
        <is>
          <t>+4 influence. Also +3 of the elected candidate's theme. Worth 5 prestige.</t>
        </is>
      </c>
    </row>
    <row r="14">
      <c r="A14" s="5" t="n">
        <v>13</v>
      </c>
      <c r="B14" s="5" t="n">
        <v>1844</v>
      </c>
      <c r="C14" s="5" t="inlineStr">
        <is>
          <t>III</t>
        </is>
      </c>
      <c r="D14" s="6" t="inlineStr">
        <is>
          <t>Manifest Destiny</t>
        </is>
      </c>
      <c r="E14" s="5" t="n">
        <v>6</v>
      </c>
      <c r="F14" s="5" t="n">
        <v>0</v>
      </c>
      <c r="G14" s="5" t="n">
        <v>2</v>
      </c>
      <c r="H14" s="5" t="n">
        <v>4</v>
      </c>
      <c r="I14" s="6" t="inlineStr">
        <is>
          <t>Henry Clay</t>
        </is>
      </c>
      <c r="J14" s="5" t="inlineStr">
        <is>
          <t>Economic</t>
        </is>
      </c>
      <c r="K14" s="5" t="n">
        <v>16</v>
      </c>
      <c r="L14" s="6" t="inlineStr">
        <is>
          <t>James K. Polk</t>
        </is>
      </c>
      <c r="M14" s="5" t="inlineStr">
        <is>
          <t>Social</t>
        </is>
      </c>
      <c r="N14" s="5" t="n">
        <v>14</v>
      </c>
      <c r="O14" s="5" t="inlineStr">
        <is>
          <t>states</t>
        </is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3</v>
      </c>
      <c r="W14" s="5" t="n">
        <v>0</v>
      </c>
      <c r="X14" s="5" t="n"/>
      <c r="Y14" s="6" t="inlineStr">
        <is>
          <t>+2 influence. Look at the top 3 stories of the main deck; put one into your hand, the rest on the bottom.</t>
        </is>
      </c>
      <c r="Z14" s="5" t="inlineStr">
        <is>
          <t>draw_fewest</t>
        </is>
      </c>
      <c r="AA14" s="5" t="n">
        <v>2</v>
      </c>
      <c r="AB14" s="6" t="inlineStr">
        <is>
          <t>Fifty-four Forty</t>
        </is>
      </c>
      <c r="AC14" s="6" t="inlineStr">
        <is>
          <t>The paper (or papers) with the fewest offices draws 2 cards.</t>
        </is>
      </c>
      <c r="AD14" s="6" t="inlineStr">
        <is>
          <t>+2 influence. Look at the top 3 stories of the main deck; put one into your hand, the rest on the bottom. Also +4 of the elected candidate's theme. Worth 6 prestige.</t>
        </is>
      </c>
    </row>
    <row r="15">
      <c r="A15" s="5" t="n">
        <v>14</v>
      </c>
      <c r="B15" s="5" t="n">
        <v>1848</v>
      </c>
      <c r="C15" s="5" t="inlineStr">
        <is>
          <t>III</t>
        </is>
      </c>
      <c r="D15" s="6" t="inlineStr">
        <is>
          <t>The Free Soil Revolt</t>
        </is>
      </c>
      <c r="E15" s="5" t="n">
        <v>6</v>
      </c>
      <c r="F15" s="5" t="n">
        <v>0</v>
      </c>
      <c r="G15" s="5" t="n">
        <v>0</v>
      </c>
      <c r="H15" s="5" t="n">
        <v>4</v>
      </c>
      <c r="I15" s="6" t="inlineStr">
        <is>
          <t>Zachary Taylor</t>
        </is>
      </c>
      <c r="J15" s="5" t="inlineStr">
        <is>
          <t>Social</t>
        </is>
      </c>
      <c r="K15" s="5" t="n">
        <v>14</v>
      </c>
      <c r="L15" s="6" t="inlineStr">
        <is>
          <t>Lewis Cass</t>
        </is>
      </c>
      <c r="M15" s="5" t="inlineStr">
        <is>
          <t>Political</t>
        </is>
      </c>
      <c r="N15" s="5" t="n">
        <v>16</v>
      </c>
      <c r="O15" s="5" t="inlineStr">
        <is>
          <t>nation</t>
        </is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/>
      <c r="Y15" s="6" t="inlineStr">
        <is>
          <t>+1 influence for each different kind of card you play this turn. Draw a card.</t>
        </is>
      </c>
      <c r="Z15" s="5" t="inlineStr">
        <is>
          <t>destroy_cheapest</t>
        </is>
      </c>
      <c r="AA15" s="5" t="n">
        <v>1</v>
      </c>
      <c r="AB15" s="6" t="inlineStr">
        <is>
          <t>The Wilmot Proviso</t>
        </is>
      </c>
      <c r="AC15" s="6" t="inlineStr">
        <is>
          <t>Each paper destroys the cheapest card in its hand.</t>
        </is>
      </c>
      <c r="AD15" s="6" t="inlineStr">
        <is>
          <t>+1 influence for each different kind of card you play this turn. Draw a card. Also +4 of the elected candidate's theme. Worth 6 prestige.</t>
        </is>
      </c>
    </row>
    <row r="16">
      <c r="A16" s="5" t="n">
        <v>15</v>
      </c>
      <c r="B16" s="5" t="n">
        <v>1852</v>
      </c>
      <c r="C16" s="5" t="inlineStr">
        <is>
          <t>III</t>
        </is>
      </c>
      <c r="D16" s="6" t="inlineStr">
        <is>
          <t>The Compromise of 1850</t>
        </is>
      </c>
      <c r="E16" s="5" t="n">
        <v>6</v>
      </c>
      <c r="F16" s="5" t="n">
        <v>0</v>
      </c>
      <c r="G16" s="5" t="n">
        <v>0</v>
      </c>
      <c r="H16" s="5" t="n">
        <v>4</v>
      </c>
      <c r="I16" s="6" t="inlineStr">
        <is>
          <t>Winfield Scott</t>
        </is>
      </c>
      <c r="J16" s="5" t="inlineStr">
        <is>
          <t>Political</t>
        </is>
      </c>
      <c r="K16" s="5" t="n">
        <v>17</v>
      </c>
      <c r="L16" s="6" t="inlineStr">
        <is>
          <t>Franklin Pierce</t>
        </is>
      </c>
      <c r="M16" s="5" t="inlineStr">
        <is>
          <t>Economic</t>
        </is>
      </c>
      <c r="N16" s="5" t="n">
        <v>15</v>
      </c>
      <c r="O16" s="5" t="inlineStr">
        <is>
          <t>states</t>
        </is>
      </c>
      <c r="P16" s="5" t="n">
        <v>0</v>
      </c>
      <c r="Q16" s="5" t="n">
        <v>3</v>
      </c>
      <c r="R16" s="5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/>
      <c r="Y16" s="6" t="inlineStr">
        <is>
          <t>Destroy up to 3 cards in your hand or discard pile; draw a card for each.</t>
        </is>
      </c>
      <c r="Z16" s="5" t="inlineStr">
        <is>
          <t>scandal_leader</t>
        </is>
      </c>
      <c r="AA16" s="5" t="n">
        <v>1</v>
      </c>
      <c r="AB16" s="6" t="inlineStr">
        <is>
          <t>The Fugitive Slave Act</t>
        </is>
      </c>
      <c r="AC16" s="6" t="inlineStr">
        <is>
          <t>The paper (or papers) with the most prestige gains a Scandal.</t>
        </is>
      </c>
      <c r="AD16" s="6" t="inlineStr">
        <is>
          <t>Destroy up to 3 cards in your hand or discard pile; draw a card for each. Also +4 of the elected candidate's theme. Worth 6 prestige.</t>
        </is>
      </c>
    </row>
    <row r="17">
      <c r="A17" s="5" t="n">
        <v>16</v>
      </c>
      <c r="B17" s="5" t="n">
        <v>1856</v>
      </c>
      <c r="C17" s="5" t="inlineStr">
        <is>
          <t>III</t>
        </is>
      </c>
      <c r="D17" s="6" t="inlineStr">
        <is>
          <t>Bleeding Kansas</t>
        </is>
      </c>
      <c r="E17" s="5" t="n">
        <v>6</v>
      </c>
      <c r="F17" s="5" t="n">
        <v>0</v>
      </c>
      <c r="G17" s="5" t="n">
        <v>5</v>
      </c>
      <c r="H17" s="5" t="n">
        <v>4</v>
      </c>
      <c r="I17" s="6" t="inlineStr">
        <is>
          <t>John C. Fremont</t>
        </is>
      </c>
      <c r="J17" s="5" t="inlineStr">
        <is>
          <t>Economic</t>
        </is>
      </c>
      <c r="K17" s="5" t="n">
        <v>17</v>
      </c>
      <c r="L17" s="6" t="inlineStr">
        <is>
          <t>James Buchanan</t>
        </is>
      </c>
      <c r="M17" s="5" t="inlineStr">
        <is>
          <t>Political</t>
        </is>
      </c>
      <c r="N17" s="5" t="n">
        <v>15</v>
      </c>
      <c r="O17" s="5" t="inlineStr">
        <is>
          <t>states</t>
        </is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inlineStr">
        <is>
          <t>scandal</t>
        </is>
      </c>
      <c r="Y17" s="6" t="inlineStr">
        <is>
          <t>+5 influence. Attack: each rival paper gains a Scandal.</t>
        </is>
      </c>
      <c r="Z17" s="5" t="inlineStr">
        <is>
          <t>discard_leader</t>
        </is>
      </c>
      <c r="AA17" s="5" t="n">
        <v>2</v>
      </c>
      <c r="AB17" s="6" t="inlineStr">
        <is>
          <t>Bleeding Kansas</t>
        </is>
      </c>
      <c r="AC17" s="6" t="inlineStr">
        <is>
          <t>The paper (or papers) holding the most offices discards 2 cards at random.</t>
        </is>
      </c>
      <c r="AD17" s="6" t="inlineStr">
        <is>
          <t>+5 influence. Attack: each rival paper gains a Scandal. Also +4 of the elected candidate's theme. Worth 6 prestige.</t>
        </is>
      </c>
    </row>
    <row r="18">
      <c r="A18" s="5" t="n">
        <v>17</v>
      </c>
      <c r="B18" s="5" t="n">
        <v>1860</v>
      </c>
      <c r="C18" s="5" t="inlineStr">
        <is>
          <t>III</t>
        </is>
      </c>
      <c r="D18" s="6" t="inlineStr">
        <is>
          <t>Secession Winter</t>
        </is>
      </c>
      <c r="E18" s="5" t="n">
        <v>0</v>
      </c>
      <c r="F18" s="5" t="n">
        <v>1</v>
      </c>
      <c r="G18" s="5" t="n">
        <v>0</v>
      </c>
      <c r="H18" s="5" t="n">
        <v>4</v>
      </c>
      <c r="I18" s="6" t="inlineStr">
        <is>
          <t>Abraham Lincoln</t>
        </is>
      </c>
      <c r="J18" s="5" t="inlineStr">
        <is>
          <t>Political</t>
        </is>
      </c>
      <c r="K18" s="5" t="n">
        <v>16</v>
      </c>
      <c r="L18" s="6" t="inlineStr">
        <is>
          <t>Stephen A. Douglas</t>
        </is>
      </c>
      <c r="M18" s="5" t="inlineStr">
        <is>
          <t>Economic</t>
        </is>
      </c>
      <c r="N18" s="5" t="n">
        <v>18</v>
      </c>
      <c r="O18" s="5" t="inlineStr">
        <is>
          <t>nation</t>
        </is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/>
      <c r="Y18" s="6" t="inlineStr">
        <is>
          <t>The last election: the game ends after this turn. Worth 1 prestige for each election card you hold, this one included.</t>
        </is>
      </c>
      <c r="Z18" s="5" t="inlineStr">
        <is>
          <t>destroy_cheapest</t>
        </is>
      </c>
      <c r="AA18" s="5" t="n">
        <v>1</v>
      </c>
      <c r="AB18" s="6" t="inlineStr">
        <is>
          <t>Secession</t>
        </is>
      </c>
      <c r="AC18" s="6" t="inlineStr">
        <is>
          <t>Each paper destroys the cheapest card in its hand.</t>
        </is>
      </c>
      <c r="AD18" s="6" t="inlineStr">
        <is>
          <t>The last election: the game ends after this turn. Worth 1 prestige for each election card you hold, this one included.</t>
        </is>
      </c>
    </row>
  </sheetData>
  <autoFilter ref="A1:A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8" customWidth="1" min="4" max="4"/>
    <col width="55" customWidth="1" min="5" max="5"/>
    <col width="50" customWidth="1" min="6" max="6"/>
  </cols>
  <sheetData>
    <row r="1" ht="30" customHeight="1">
      <c r="A1" s="4" t="inlineStr">
        <is>
          <t>key</t>
        </is>
      </c>
      <c r="B1" s="4" t="inlineStr">
        <is>
          <t>name</t>
        </is>
      </c>
      <c r="C1" s="4" t="inlineStr">
        <is>
          <t>dc_super_hero</t>
        </is>
      </c>
      <c r="D1" s="4" t="inlineStr">
        <is>
          <t>leans</t>
        </is>
      </c>
      <c r="E1" s="4" t="inlineStr">
        <is>
          <t>ability</t>
        </is>
      </c>
      <c r="F1" s="4" t="inlineStr">
        <is>
          <t>flavor</t>
        </is>
      </c>
    </row>
    <row r="2">
      <c r="A2" s="5" t="inlineStr">
        <is>
          <t>globe</t>
        </is>
      </c>
      <c r="B2" s="6" t="inlineStr">
        <is>
          <t>The Washington Globe</t>
        </is>
      </c>
      <c r="C2" s="5" t="inlineStr">
        <is>
          <t>Hawkman</t>
        </is>
      </c>
      <c r="D2" s="5" t="inlineStr">
        <is>
          <t>Political</t>
        </is>
      </c>
      <c r="E2" s="6" t="inlineStr">
        <is>
          <t>Your Political influence counts toward any candidate.</t>
        </is>
      </c>
      <c r="F2" s="6" t="inlineStr">
        <is>
          <t>Francis Blair's Globe, the party organ of the Jackson men: the line came from the White House.</t>
        </is>
      </c>
    </row>
    <row r="3">
      <c r="A3" s="5" t="inlineStr">
        <is>
          <t>argus</t>
        </is>
      </c>
      <c r="B3" s="6" t="inlineStr">
        <is>
          <t>The Albany Argus</t>
        </is>
      </c>
      <c r="C3" s="5" t="inlineStr">
        <is>
          <t>Red Tornado</t>
        </is>
      </c>
      <c r="D3" s="5" t="inlineStr">
        <is>
          <t>Political</t>
        </is>
      </c>
      <c r="E3" s="6" t="inlineStr">
        <is>
          <t>Each election you win is worth +1 prestige at the end of the game.</t>
        </is>
      </c>
      <c r="F3" s="6" t="inlineStr">
        <is>
          <t>The voice of the Albany Regency, Van Buren's machine. It could elect anyone the party named.</t>
        </is>
      </c>
    </row>
    <row r="4">
      <c r="A4" s="5" t="inlineStr">
        <is>
          <t>intelligencer</t>
        </is>
      </c>
      <c r="B4" s="6" t="inlineStr">
        <is>
          <t>The National Intelligencer</t>
        </is>
      </c>
      <c r="C4" s="5" t="inlineStr">
        <is>
          <t>Booster Gold</t>
        </is>
      </c>
      <c r="D4" s="5" t="inlineStr">
        <is>
          <t>Political</t>
        </is>
      </c>
      <c r="E4" s="6" t="inlineStr">
        <is>
          <t>You never gain Scandals: when a negative story would give you one, ignore it.</t>
        </is>
      </c>
      <c r="F4" s="6" t="inlineStr">
        <is>
          <t>Gales and Seaton's paper of record, printing the debates of Congress. Too dull to smear.</t>
        </is>
      </c>
    </row>
    <row r="5">
      <c r="A5" s="5" t="inlineStr">
        <is>
          <t>journal</t>
        </is>
      </c>
      <c r="B5" s="6" t="inlineStr">
        <is>
          <t>The Journal of Commerce</t>
        </is>
      </c>
      <c r="C5" s="5" t="inlineStr">
        <is>
          <t>Nightwing</t>
        </is>
      </c>
      <c r="D5" s="5" t="inlineStr">
        <is>
          <t>Economic</t>
        </is>
      </c>
      <c r="E5" s="6" t="inlineStr">
        <is>
          <t>Your first and second Economic stories each turn give +1 influence each.</t>
        </is>
      </c>
      <c r="F5" s="6" t="inlineStr">
        <is>
          <t>Prices current, ship arrivals and the money market, for the merchants of New York.</t>
        </is>
      </c>
    </row>
    <row r="6">
      <c r="A6" s="5" t="inlineStr">
        <is>
          <t>herald</t>
        </is>
      </c>
      <c r="B6" s="6" t="inlineStr">
        <is>
          <t>The New York Herald</t>
        </is>
      </c>
      <c r="C6" s="5" t="inlineStr">
        <is>
          <t>Shazam!</t>
        </is>
      </c>
      <c r="D6" s="5" t="inlineStr">
        <is>
          <t>Economic</t>
        </is>
      </c>
      <c r="E6" s="6" t="inlineStr">
        <is>
          <t>Once each turn, you may pay 2 influence to set aside the top story of the main deck; it joins your next hand.</t>
        </is>
      </c>
      <c r="F6" s="6" t="inlineStr">
        <is>
          <t>James Gordon Bennett's Herald: first with the news, by any means, at any cost.</t>
        </is>
      </c>
    </row>
    <row r="7">
      <c r="A7" s="5" t="inlineStr">
        <is>
          <t>sun</t>
        </is>
      </c>
      <c r="B7" s="6" t="inlineStr">
        <is>
          <t>The Sun</t>
        </is>
      </c>
      <c r="C7" s="5" t="inlineStr">
        <is>
          <t>Batgirl</t>
        </is>
      </c>
      <c r="D7" s="5" t="inlineStr">
        <is>
          <t>Social</t>
        </is>
      </c>
      <c r="E7" s="6" t="inlineStr">
        <is>
          <t>Once each turn, you may discard a Scandal from your hand to draw three cards.</t>
        </is>
      </c>
      <c r="F7" s="6" t="inlineStr">
        <is>
          <t>Benjamin Day's Sun, a penny a copy: police court, murders, and the moon men.</t>
        </is>
      </c>
    </row>
    <row r="8">
      <c r="A8" s="5" t="inlineStr">
        <is>
          <t>north_star</t>
        </is>
      </c>
      <c r="B8" s="6" t="inlineStr">
        <is>
          <t>The North Star</t>
        </is>
      </c>
      <c r="C8" s="5" t="inlineStr">
        <is>
          <t>Starfire</t>
        </is>
      </c>
      <c r="D8" s="5" t="inlineStr">
        <is>
          <t>Social</t>
        </is>
      </c>
      <c r="E8" s="6" t="inlineStr">
        <is>
          <t>Once each turn, if you play two or more Social stories, draw a card.</t>
        </is>
      </c>
      <c r="F8" s="6" t="inlineStr">
        <is>
          <t>Frederick Douglass's weekly from Rochester: "Right is of no sex - Truth is of no color."</t>
        </is>
      </c>
    </row>
    <row r="9">
      <c r="A9" s="5" t="inlineStr">
        <is>
          <t>aurora</t>
        </is>
      </c>
      <c r="B9" s="6" t="inlineStr">
        <is>
          <t>The Aurora</t>
        </is>
      </c>
      <c r="C9" s="5" t="inlineStr">
        <is>
          <t>Black Canary</t>
        </is>
      </c>
      <c r="D9" s="5" t="inlineStr">
        <is>
          <t>Negative</t>
        </is>
      </c>
      <c r="E9" s="6" t="inlineStr">
        <is>
          <t>+1 influence for each different negative story you play.</t>
        </is>
      </c>
      <c r="F9" s="6" t="inlineStr">
        <is>
          <t>Benjamin Franklin Bache's Aurora, which called Washington a tyrant and Adams worse.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Summary of the Stories sheet (formulas: edit the Stories sheet and these update)</t>
        </is>
      </c>
    </row>
    <row r="2">
      <c r="A2" s="2" t="n"/>
      <c r="B2" s="2" t="n"/>
      <c r="C2" s="2" t="n"/>
      <c r="D2" s="2" t="n"/>
      <c r="E2" s="2" t="n"/>
    </row>
    <row r="3">
      <c r="A3" s="7" t="inlineStr">
        <is>
          <t>Card type</t>
        </is>
      </c>
      <c r="B3" s="7" t="inlineStr">
        <is>
          <t>Kinds</t>
        </is>
      </c>
      <c r="C3" s="7" t="inlineStr">
        <is>
          <t>Copies</t>
        </is>
      </c>
      <c r="D3" s="7" t="inlineStr">
        <is>
          <t>Total prestige (vp x copies)</t>
        </is>
      </c>
      <c r="E3" s="2" t="n"/>
    </row>
    <row r="4">
      <c r="A4" s="2" t="inlineStr">
        <is>
          <t>Political story</t>
        </is>
      </c>
      <c r="B4" s="2">
        <f>COUNTIFS(Stories!$C$2:$C$111,$A4)</f>
        <v/>
      </c>
      <c r="C4" s="2">
        <f>SUMIFS(Stories!$AA$2:$AA$111,Stories!$C$2:$C$111,$A4)</f>
        <v/>
      </c>
      <c r="D4" s="2">
        <f>SUMPRODUCT((Stories!$C$2:$C$111=$A4)*Stories!$F$2:$F$111*Stories!$AA$2:$AA$111)</f>
        <v/>
      </c>
      <c r="E4" s="2" t="n"/>
    </row>
    <row r="5">
      <c r="A5" s="2" t="inlineStr">
        <is>
          <t>Economic story</t>
        </is>
      </c>
      <c r="B5" s="2">
        <f>COUNTIFS(Stories!$C$2:$C$111,$A5)</f>
        <v/>
      </c>
      <c r="C5" s="2">
        <f>SUMIFS(Stories!$AA$2:$AA$111,Stories!$C$2:$C$111,$A5)</f>
        <v/>
      </c>
      <c r="D5" s="2">
        <f>SUMPRODUCT((Stories!$C$2:$C$111=$A5)*Stories!$F$2:$F$111*Stories!$AA$2:$AA$111)</f>
        <v/>
      </c>
      <c r="E5" s="2" t="n"/>
    </row>
    <row r="6">
      <c r="A6" s="2" t="inlineStr">
        <is>
          <t>Social story</t>
        </is>
      </c>
      <c r="B6" s="2">
        <f>COUNTIFS(Stories!$C$2:$C$111,$A6)</f>
        <v/>
      </c>
      <c r="C6" s="2">
        <f>SUMIFS(Stories!$AA$2:$AA$111,Stories!$C$2:$C$111,$A6)</f>
        <v/>
      </c>
      <c r="D6" s="2">
        <f>SUMPRODUCT((Stories!$C$2:$C$111=$A6)*Stories!$F$2:$F$111*Stories!$AA$2:$AA$111)</f>
        <v/>
      </c>
      <c r="E6" s="2" t="n"/>
    </row>
    <row r="7">
      <c r="A7" s="2" t="inlineStr">
        <is>
          <t>Negative story</t>
        </is>
      </c>
      <c r="B7" s="2">
        <f>COUNTIFS(Stories!$C$2:$C$111,$A7)</f>
        <v/>
      </c>
      <c r="C7" s="2">
        <f>SUMIFS(Stories!$AA$2:$AA$111,Stories!$C$2:$C$111,$A7)</f>
        <v/>
      </c>
      <c r="D7" s="2">
        <f>SUMPRODUCT((Stories!$C$2:$C$111=$A7)*Stories!$F$2:$F$111*Stories!$AA$2:$AA$111)</f>
        <v/>
      </c>
      <c r="E7" s="2" t="n"/>
    </row>
    <row r="8">
      <c r="A8" s="2" t="inlineStr">
        <is>
          <t>Media event</t>
        </is>
      </c>
      <c r="B8" s="2">
        <f>COUNTIFS(Stories!$C$2:$C$111,$A8)</f>
        <v/>
      </c>
      <c r="C8" s="2">
        <f>SUMIFS(Stories!$AA$2:$AA$111,Stories!$C$2:$C$111,$A8)</f>
        <v/>
      </c>
      <c r="D8" s="2">
        <f>SUMPRODUCT((Stories!$C$2:$C$111=$A8)*Stories!$F$2:$F$111*Stories!$AA$2:$AA$111)</f>
        <v/>
      </c>
      <c r="E8" s="2" t="n"/>
    </row>
    <row r="9">
      <c r="A9" s="2" t="inlineStr">
        <is>
          <t>Starter</t>
        </is>
      </c>
      <c r="B9" s="2">
        <f>COUNTIFS(Stories!$C$2:$C$111,$A9)</f>
        <v/>
      </c>
      <c r="C9" s="2">
        <f>SUMIFS(Stories!$AA$2:$AA$111,Stories!$C$2:$C$111,$A9)</f>
        <v/>
      </c>
      <c r="D9" s="2">
        <f>SUMPRODUCT((Stories!$C$2:$C$111=$A9)*Stories!$F$2:$F$111*Stories!$AA$2:$AA$111)</f>
        <v/>
      </c>
      <c r="E9" s="2" t="n"/>
    </row>
    <row r="10">
      <c r="A10" s="2" t="inlineStr">
        <is>
          <t>Editorial</t>
        </is>
      </c>
      <c r="B10" s="2">
        <f>COUNTIFS(Stories!$C$2:$C$111,$A10)</f>
        <v/>
      </c>
      <c r="C10" s="2">
        <f>SUMIFS(Stories!$AA$2:$AA$111,Stories!$C$2:$C$111,$A10)</f>
        <v/>
      </c>
      <c r="D10" s="2">
        <f>SUMPRODUCT((Stories!$C$2:$C$111=$A10)*Stories!$F$2:$F$111*Stories!$AA$2:$AA$111)</f>
        <v/>
      </c>
      <c r="E10" s="2" t="n"/>
    </row>
    <row r="11">
      <c r="A11" s="2" t="inlineStr">
        <is>
          <t>Scandal</t>
        </is>
      </c>
      <c r="B11" s="2">
        <f>COUNTIFS(Stories!$C$2:$C$111,$A11)</f>
        <v/>
      </c>
      <c r="C11" s="2">
        <f>SUMIFS(Stories!$AA$2:$AA$111,Stories!$C$2:$C$111,$A11)</f>
        <v/>
      </c>
      <c r="D11" s="2">
        <f>SUMPRODUCT((Stories!$C$2:$C$111=$A11)*Stories!$F$2:$F$111*Stories!$AA$2:$AA$111)</f>
        <v/>
      </c>
      <c r="E11" s="2" t="n"/>
    </row>
    <row r="12">
      <c r="A12" s="2" t="inlineStr">
        <is>
          <t>Total</t>
        </is>
      </c>
      <c r="B12" s="2">
        <f>SUM(B4:B11)</f>
        <v/>
      </c>
      <c r="C12" s="2">
        <f>SUM(C4:C11)</f>
        <v/>
      </c>
      <c r="D12" s="2">
        <f>SUM(D4:D11)</f>
        <v/>
      </c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Theme (stories and negative stories)</t>
        </is>
      </c>
      <c r="B14" s="2" t="inlineStr">
        <is>
          <t>Era I</t>
        </is>
      </c>
      <c r="C14" s="2" t="inlineStr">
        <is>
          <t>Era II</t>
        </is>
      </c>
      <c r="D14" s="2" t="inlineStr">
        <is>
          <t>Era III</t>
        </is>
      </c>
      <c r="E14" s="2" t="inlineStr">
        <is>
          <t>All</t>
        </is>
      </c>
    </row>
    <row r="15">
      <c r="A15" s="2" t="inlineStr">
        <is>
          <t>Political</t>
        </is>
      </c>
      <c r="B15" s="2">
        <f>COUNTIFS(Stories!$D$2:$D$111,$A15,Stories!$Y$2:$Y$111,"&gt;=1796",Stories!$Y$2:$Y$111,"&lt;=1804")</f>
        <v/>
      </c>
      <c r="C15" s="2">
        <f>COUNTIFS(Stories!$D$2:$D$111,$A15,Stories!$Y$2:$Y$111,"&gt;=1808",Stories!$Y$2:$Y$111,"&lt;=1828")</f>
        <v/>
      </c>
      <c r="D15" s="2">
        <f>COUNTIFS(Stories!$D$2:$D$111,$A15,Stories!$Y$2:$Y$111,"&gt;=1832",Stories!$Y$2:$Y$111,"&lt;=1860")</f>
        <v/>
      </c>
      <c r="E15" s="2">
        <f>SUM(B15:D15)</f>
        <v/>
      </c>
    </row>
    <row r="16">
      <c r="A16" s="2" t="inlineStr">
        <is>
          <t>Economic</t>
        </is>
      </c>
      <c r="B16" s="2">
        <f>COUNTIFS(Stories!$D$2:$D$111,$A16,Stories!$Y$2:$Y$111,"&gt;=1796",Stories!$Y$2:$Y$111,"&lt;=1804")</f>
        <v/>
      </c>
      <c r="C16" s="2">
        <f>COUNTIFS(Stories!$D$2:$D$111,$A16,Stories!$Y$2:$Y$111,"&gt;=1808",Stories!$Y$2:$Y$111,"&lt;=1828")</f>
        <v/>
      </c>
      <c r="D16" s="2">
        <f>COUNTIFS(Stories!$D$2:$D$111,$A16,Stories!$Y$2:$Y$111,"&gt;=1832",Stories!$Y$2:$Y$111,"&lt;=1860")</f>
        <v/>
      </c>
      <c r="E16" s="2">
        <f>SUM(B16:D16)</f>
        <v/>
      </c>
    </row>
    <row r="17">
      <c r="A17" s="2" t="inlineStr">
        <is>
          <t>Social</t>
        </is>
      </c>
      <c r="B17" s="2">
        <f>COUNTIFS(Stories!$D$2:$D$111,$A17,Stories!$Y$2:$Y$111,"&gt;=1796",Stories!$Y$2:$Y$111,"&lt;=1804")</f>
        <v/>
      </c>
      <c r="C17" s="2">
        <f>COUNTIFS(Stories!$D$2:$D$111,$A17,Stories!$Y$2:$Y$111,"&gt;=1808",Stories!$Y$2:$Y$111,"&lt;=1828")</f>
        <v/>
      </c>
      <c r="D17" s="2">
        <f>COUNTIFS(Stories!$D$2:$D$111,$A17,Stories!$Y$2:$Y$111,"&gt;=1832",Stories!$Y$2:$Y$111,"&lt;=1860")</f>
        <v/>
      </c>
      <c r="E17" s="2">
        <f>SUM(B17:D17)</f>
        <v/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Elections: fixed prestige on the 17 cards (1860 is worth 1 per office held, not counted)</t>
        </is>
      </c>
      <c r="B19" s="2">
        <f>SUM(Elections!$E$2:$E$18)</f>
        <v/>
      </c>
      <c r="C19" s="2" t="n"/>
      <c r="D19" s="2" t="n"/>
      <c r="E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2026-09-29T12:38:51Z</dcterms:created>
  <dcterms:modified xmlns:dcterms="http://purl.org/dc/terms/" xmlns:xsi="http://www.w3.org/2001/XMLSchema-instance" xsi:type="dcterms:W3CDTF">2026-09-29T12:38:51Z</dcterms:modified>
</cp:coreProperties>
</file>